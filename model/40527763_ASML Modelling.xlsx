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anka\OneDrive\Documents\Asset Pricing\"/>
    </mc:Choice>
  </mc:AlternateContent>
  <xr:revisionPtr revIDLastSave="0" documentId="8_{043B1502-1DAA-4340-8886-A1015D733A65}" xr6:coauthVersionLast="47" xr6:coauthVersionMax="47" xr10:uidLastSave="{00000000-0000-0000-0000-000000000000}"/>
  <bookViews>
    <workbookView xWindow="-108" yWindow="-108" windowWidth="23256" windowHeight="13896" tabRatio="782" activeTab="6" xr2:uid="{00000000-000D-0000-FFFF-FFFF00000000}"/>
  </bookViews>
  <sheets>
    <sheet name="1. INPUTS" sheetId="1" r:id="rId1"/>
    <sheet name="2. HISTORICAL" sheetId="2" r:id="rId2"/>
    <sheet name="3. DCF VALUATION" sheetId="3" r:id="rId3"/>
    <sheet name="4. COMP VALUATION" sheetId="4" r:id="rId4"/>
    <sheet name="5. CAPM" sheetId="5" r:id="rId5"/>
    <sheet name="6. SUMMARY" sheetId="6" r:id="rId6"/>
    <sheet name="CHART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7" l="1"/>
  <c r="E13" i="7"/>
  <c r="E12" i="7"/>
  <c r="E11" i="7"/>
  <c r="E10" i="7"/>
  <c r="E9" i="7"/>
  <c r="B13" i="7"/>
  <c r="B12" i="7"/>
  <c r="B11" i="7"/>
  <c r="B10" i="7"/>
  <c r="B8" i="7"/>
  <c r="B7" i="7"/>
  <c r="B6" i="7"/>
  <c r="B5" i="7"/>
  <c r="B4" i="7"/>
  <c r="C4" i="7"/>
  <c r="D13" i="7"/>
  <c r="D12" i="7"/>
  <c r="C8" i="7"/>
  <c r="C7" i="7"/>
  <c r="C6" i="7"/>
  <c r="E5" i="7"/>
  <c r="C5" i="7"/>
  <c r="E4" i="7"/>
  <c r="C36" i="6"/>
  <c r="B36" i="6"/>
  <c r="C35" i="6"/>
  <c r="B35" i="6"/>
  <c r="C33" i="6"/>
  <c r="B33" i="6"/>
  <c r="C32" i="6"/>
  <c r="B32" i="6"/>
  <c r="C31" i="6"/>
  <c r="B31" i="6"/>
  <c r="B25" i="6"/>
  <c r="B24" i="6"/>
  <c r="B23" i="6"/>
  <c r="B22" i="6"/>
  <c r="B18" i="6"/>
  <c r="B7" i="6"/>
  <c r="B16" i="5"/>
  <c r="B12" i="5"/>
  <c r="B20" i="5" s="1"/>
  <c r="B9" i="5"/>
  <c r="H22" i="4"/>
  <c r="F19" i="4"/>
  <c r="C19" i="4"/>
  <c r="D18" i="4"/>
  <c r="H12" i="4"/>
  <c r="G12" i="4"/>
  <c r="F12" i="4"/>
  <c r="F13" i="4" s="1"/>
  <c r="E12" i="4"/>
  <c r="E13" i="4" s="1"/>
  <c r="D12" i="4"/>
  <c r="C18" i="4" s="1"/>
  <c r="H18" i="4" s="1"/>
  <c r="C12" i="4"/>
  <c r="B36" i="3"/>
  <c r="B34" i="3"/>
  <c r="B32" i="3"/>
  <c r="G23" i="3"/>
  <c r="F23" i="3"/>
  <c r="E23" i="3"/>
  <c r="D23" i="3"/>
  <c r="C23" i="3"/>
  <c r="B23" i="3"/>
  <c r="B17" i="3"/>
  <c r="B16" i="3"/>
  <c r="B15" i="3"/>
  <c r="G10" i="3"/>
  <c r="F10" i="3"/>
  <c r="E10" i="3"/>
  <c r="D11" i="7" s="1"/>
  <c r="D10" i="3"/>
  <c r="D10" i="7" s="1"/>
  <c r="C10" i="3"/>
  <c r="D34" i="6" s="1"/>
  <c r="F7" i="3"/>
  <c r="E7" i="3"/>
  <c r="D7" i="3"/>
  <c r="C7" i="3"/>
  <c r="B7" i="3"/>
  <c r="C6" i="3"/>
  <c r="C17" i="3" s="1"/>
  <c r="B6" i="3"/>
  <c r="F21" i="2"/>
  <c r="E21" i="2"/>
  <c r="D21" i="2"/>
  <c r="C21" i="2"/>
  <c r="B21" i="2"/>
  <c r="F20" i="2"/>
  <c r="E20" i="2"/>
  <c r="D20" i="2"/>
  <c r="C20" i="2"/>
  <c r="B20" i="2"/>
  <c r="F13" i="2"/>
  <c r="E8" i="7" s="1"/>
  <c r="E13" i="2"/>
  <c r="E7" i="7" s="1"/>
  <c r="D13" i="2"/>
  <c r="E6" i="7" s="1"/>
  <c r="C13" i="2"/>
  <c r="B13" i="2"/>
  <c r="F11" i="2"/>
  <c r="D8" i="7" s="1"/>
  <c r="E11" i="2"/>
  <c r="D7" i="7" s="1"/>
  <c r="D11" i="2"/>
  <c r="D6" i="7" s="1"/>
  <c r="C11" i="2"/>
  <c r="D5" i="7" s="1"/>
  <c r="B11" i="2"/>
  <c r="D4" i="7" s="1"/>
  <c r="F9" i="2"/>
  <c r="E9" i="2"/>
  <c r="D9" i="2"/>
  <c r="C9" i="2"/>
  <c r="B9" i="2"/>
  <c r="F7" i="2"/>
  <c r="E7" i="2"/>
  <c r="D7" i="2"/>
  <c r="C7" i="2"/>
  <c r="B8" i="1"/>
  <c r="B15" i="6" l="1"/>
  <c r="B10" i="3"/>
  <c r="B11" i="3" s="1"/>
  <c r="D31" i="6"/>
  <c r="C11" i="3"/>
  <c r="C16" i="3"/>
  <c r="B34" i="6"/>
  <c r="C9" i="7"/>
  <c r="C34" i="6"/>
  <c r="D9" i="7"/>
  <c r="D13" i="4"/>
  <c r="D6" i="3"/>
  <c r="C15" i="3"/>
  <c r="E6" i="3" l="1"/>
  <c r="D17" i="3"/>
  <c r="D15" i="3"/>
  <c r="C10" i="7"/>
  <c r="D16" i="3"/>
  <c r="D11" i="3"/>
  <c r="D19" i="4"/>
  <c r="E19" i="4" s="1"/>
  <c r="G19" i="4" s="1"/>
  <c r="H19" i="4" s="1"/>
  <c r="C12" i="3"/>
  <c r="D32" i="6"/>
  <c r="C13" i="3"/>
  <c r="C18" i="3" s="1"/>
  <c r="D33" i="6"/>
  <c r="D35" i="6" s="1"/>
  <c r="D36" i="6" s="1"/>
  <c r="B12" i="3"/>
  <c r="B13" i="3"/>
  <c r="B18" i="3" s="1"/>
  <c r="B19" i="3" s="1"/>
  <c r="C19" i="3" l="1"/>
  <c r="C24" i="3"/>
  <c r="B16" i="6"/>
  <c r="H21" i="4"/>
  <c r="D12" i="3"/>
  <c r="D13" i="3" s="1"/>
  <c r="D18" i="3" s="1"/>
  <c r="E15" i="3"/>
  <c r="E17" i="3"/>
  <c r="C11" i="7"/>
  <c r="E16" i="3"/>
  <c r="E11" i="3"/>
  <c r="F6" i="3"/>
  <c r="D24" i="3" l="1"/>
  <c r="D19" i="3"/>
  <c r="E12" i="3"/>
  <c r="E13" i="3"/>
  <c r="E18" i="3" s="1"/>
  <c r="C12" i="7"/>
  <c r="F15" i="3"/>
  <c r="G6" i="3"/>
  <c r="F16" i="3"/>
  <c r="F11" i="3"/>
  <c r="F17" i="3"/>
  <c r="B17" i="6"/>
  <c r="H23" i="4"/>
  <c r="F12" i="3" l="1"/>
  <c r="F13" i="3"/>
  <c r="F18" i="3" s="1"/>
  <c r="G15" i="3"/>
  <c r="C13" i="7"/>
  <c r="G16" i="3"/>
  <c r="G11" i="3"/>
  <c r="G17" i="3"/>
  <c r="E19" i="3"/>
  <c r="E24" i="3"/>
  <c r="G12" i="3" l="1"/>
  <c r="G13" i="3" s="1"/>
  <c r="G18" i="3" s="1"/>
  <c r="F19" i="3"/>
  <c r="F24" i="3"/>
  <c r="G19" i="3" l="1"/>
  <c r="G24" i="3"/>
  <c r="B25" i="3" s="1"/>
  <c r="B31" i="3" s="1"/>
  <c r="B33" i="3" s="1"/>
  <c r="B35" i="3" s="1"/>
  <c r="B27" i="3"/>
  <c r="B28" i="3" s="1"/>
  <c r="B15" i="5" l="1"/>
  <c r="B17" i="5" s="1"/>
  <c r="B19" i="5" s="1"/>
  <c r="B37" i="3"/>
  <c r="B14" i="6"/>
  <c r="B38" i="1"/>
  <c r="B6" i="6" s="1"/>
  <c r="B8" i="6" s="1"/>
  <c r="B26" i="6" l="1"/>
  <c r="B21" i="5"/>
  <c r="B27" i="6" s="1"/>
</calcChain>
</file>

<file path=xl/sharedStrings.xml><?xml version="1.0" encoding="utf-8"?>
<sst xmlns="http://schemas.openxmlformats.org/spreadsheetml/2006/main" count="386" uniqueCount="323">
  <si>
    <t>ASML HOLDING N.V.  |  VALUATION MODEL INPUTS</t>
  </si>
  <si>
    <t>Input Parameter</t>
  </si>
  <si>
    <t>Value</t>
  </si>
  <si>
    <t>Units / Type</t>
  </si>
  <si>
    <t>Source / Justification</t>
  </si>
  <si>
    <t xml:space="preserve">  A.  MARKET DATA  (as of 31 March 2026)</t>
  </si>
  <si>
    <t xml:space="preserve">  Share Price (Current)</t>
  </si>
  <si>
    <t>EUR / share</t>
  </si>
  <si>
    <t>Euronext Amsterdam (ASML.AS) closing price, end-March 2026. 52W high €1,313 (25-Feb-26); stock up ~69% from Apr-2025 level. Source: Yahoo Finance / Bloomberg, Mar-2026</t>
  </si>
  <si>
    <t xml:space="preserve">  Shares Outstanding</t>
  </si>
  <si>
    <t>million shares</t>
  </si>
  <si>
    <t>Diluted shares ~383m as of Mar-2026. FY2025 weighted avg diluted 388.9m. ASML repurchased €5.95bn shares in 2025 (avg price ~€800). Source: ASML 6-K Q4 2025, Jan 28 2026</t>
  </si>
  <si>
    <t xml:space="preserve">  Market Capitalisation</t>
  </si>
  <si>
    <t>€bn</t>
  </si>
  <si>
    <t>Calculated: Share Price × Shares Outstanding</t>
  </si>
  <si>
    <t xml:space="preserve">  52-Week High</t>
  </si>
  <si>
    <t xml:space="preserve">  52-Week Low</t>
  </si>
  <si>
    <t>52-week low (Apr-2025, post Q4 2024 weak order intake). Source: Investing.com, Mar-2026</t>
  </si>
  <si>
    <t xml:space="preserve">  Enterprise Value (estimated)</t>
  </si>
  <si>
    <t>€m</t>
  </si>
  <si>
    <t>Market Cap ~€440bn less net cash ~€11bn = EV ~€429bn. Source: Derived from market data + ASML AR 2025 balance sheet</t>
  </si>
  <si>
    <t xml:space="preserve">  B.  REVENUE ACTUALS  (A = Actual | E = Estimated)</t>
  </si>
  <si>
    <t xml:space="preserve">  FY2021 Revenue  [A]</t>
  </si>
  <si>
    <t>A  - Actual</t>
  </si>
  <si>
    <t>ASML Annual Report 2021, Consolidated P&amp;L, p.140</t>
  </si>
  <si>
    <t xml:space="preserve">  FY2022 Revenue  [A]</t>
  </si>
  <si>
    <t>A  -  Actual</t>
  </si>
  <si>
    <t>ASML Annual Report 2022, Consolidated P&amp;L, p.145</t>
  </si>
  <si>
    <t xml:space="preserve">  FY2023 Revenue  [A]</t>
  </si>
  <si>
    <t>ASML Annual Report 2023, Consolidated P&amp;L, p.152</t>
  </si>
  <si>
    <t xml:space="preserve">  FY2024 Revenue  [A]</t>
  </si>
  <si>
    <t>ASML Annual Report 2024, Consolidated P&amp;L, p.158</t>
  </si>
  <si>
    <t xml:space="preserve">  FY2025 Revenue  [A]</t>
  </si>
  <si>
    <t>ASML FY2025 actual: Total net sales €32,667m (+15.6% YoY). Gross margin 52.8%. Source: ASML 6-K Q4/FY2025, 28-Jan-2026 (SEC EDGAR)</t>
  </si>
  <si>
    <t xml:space="preserve">  C.  REVENUE GROWTH ASSUMPTIONS  [Assumed – Forward Projections]</t>
  </si>
  <si>
    <t xml:space="preserve">  FY2026 Revenue Growth Rate</t>
  </si>
  <si>
    <t>Assumed</t>
  </si>
  <si>
    <t>High-NA ramp + AI-driven TSMC/Samsung orders; consensus ~10–14%</t>
  </si>
  <si>
    <t xml:space="preserve">  FY2027 Revenue Growth Rate</t>
  </si>
  <si>
    <t>High-NA EUV ramp acceleration; TSMC N2 capacity build</t>
  </si>
  <si>
    <t xml:space="preserve">  FY2028 Revenue Growth Rate</t>
  </si>
  <si>
    <t>High-NA EUV adoption and growth in installed base service revenues</t>
  </si>
  <si>
    <t xml:space="preserve">  FY2029 Revenue Growth Rate</t>
  </si>
  <si>
    <t>Moderation post peak ramp; assumes no new export shocks</t>
  </si>
  <si>
    <t xml:space="preserve">  FY2030 Revenue Growth Rate</t>
  </si>
  <si>
    <t>Conservative maturing cycle; aligns to ASML 2030 Scenario</t>
  </si>
  <si>
    <t xml:space="preserve">  D.  MARGIN ASSUMPTIONS  [Assumed]</t>
  </si>
  <si>
    <t xml:space="preserve">  EBIT Margin FY2026</t>
  </si>
  <si>
    <t>Consistent with FY2023 level; High-NA dilution offset by IBM growth</t>
  </si>
  <si>
    <t xml:space="preserve">  EBIT Margin FY2027</t>
  </si>
  <si>
    <t>High-NA margins improving; Operating leverage on fixed cost base</t>
  </si>
  <si>
    <t xml:space="preserve">  EBIT Margin FY2028</t>
  </si>
  <si>
    <t>High-NA margins maturing toward 55% GM; ASML 2030 scenario target</t>
  </si>
  <si>
    <t xml:space="preserve">  EBIT Margin FY2029</t>
  </si>
  <si>
    <t>Stable margin profile; assumes no material cost headwinds</t>
  </si>
  <si>
    <t xml:space="preserve">  EBIT Margin FY2030</t>
  </si>
  <si>
    <t>Upside scenario: High-NA at full margin; IBM at scale</t>
  </si>
  <si>
    <t xml:space="preserve">  Effective Tax Rate</t>
  </si>
  <si>
    <t>ASML AR 2024 effective tax rate ~14.5%; Dutch innovation box regime</t>
  </si>
  <si>
    <t xml:space="preserve">  D&amp;A as % of Revenue</t>
  </si>
  <si>
    <t>Updated: FY2025 actual D&amp;A €1,026m / revenue €32,667m = 3.1%. Prior model used 2% (understated). Source: ASML 6-K Q4 2025 cash flow statement</t>
  </si>
  <si>
    <t xml:space="preserve">  Capex as % of Revenue</t>
  </si>
  <si>
    <t>ASML AR 2024 capex €1.4bn / €28.3bn rev = ~5%; guided stable</t>
  </si>
  <si>
    <t xml:space="preserve">  Change in WC (% Rev)</t>
  </si>
  <si>
    <t>Simplified: minimal WC change assumption; conservative</t>
  </si>
  <si>
    <t xml:space="preserve">  E.  DCF &amp; WACC INPUTS  [Assumed]</t>
  </si>
  <si>
    <t xml:space="preserve">  WACC</t>
  </si>
  <si>
    <t>Derived from CAPM; see CAPM sheet. Cost of debt ~3.5%, D/E ~5%</t>
  </si>
  <si>
    <t xml:space="preserve">  Terminal Growth Rate</t>
  </si>
  <si>
    <t>Conservative: ~nominal GDP + inflation; below revenue CAGR</t>
  </si>
  <si>
    <t>A - Actual</t>
  </si>
  <si>
    <t>FY2025 net cash position: Cash + ST investments €13,322m less financial debt ~€2,300m = net cash ~€11,000m (stored as negative = net cash added back in equity bridge). Source: ASML 6-K Q4 2025 balance sheet, Jan 2026</t>
  </si>
  <si>
    <t xml:space="preserve">  Price Target (12-Month)</t>
  </si>
  <si>
    <t>Analyst Est.</t>
  </si>
  <si>
    <t>Model-derived: Average of DCF intrinsic value and Comparable Companies average implied price. See sheets 3 and 4 for details.</t>
  </si>
  <si>
    <t xml:space="preserve">  COLOUR KEY</t>
  </si>
  <si>
    <t xml:space="preserve">  ■  SAMPLE</t>
  </si>
  <si>
    <t xml:space="preserve">Blue text on blue background = Hardcoded input </t>
  </si>
  <si>
    <t>Green text on green background = Calculated formula (cross-sheet link)</t>
  </si>
  <si>
    <t>Blue tint = Actual historical data from ASML Annual Reports</t>
  </si>
  <si>
    <t>Yellow tint = Estimated</t>
  </si>
  <si>
    <t>Gold tint = Analyst assumption</t>
  </si>
  <si>
    <t>ASML HOLDING N.V.  |  HISTORICAL FINANCIAL PERFORMANCE  (FY2021–FY2025A)</t>
  </si>
  <si>
    <t>All figures in €m  |  A = Actual from ASML Annual Reports &amp; SEC 6-K filings</t>
  </si>
  <si>
    <t xml:space="preserve">  Metric</t>
  </si>
  <si>
    <t>FY2021  [A]</t>
  </si>
  <si>
    <t>FY2022  [A]</t>
  </si>
  <si>
    <t>FY2023  [A]</t>
  </si>
  <si>
    <t>FY2024  [A]</t>
  </si>
  <si>
    <t>FY2025  [A]</t>
  </si>
  <si>
    <t xml:space="preserve">  I.  INCOME STATEMENT SUMMARY</t>
  </si>
  <si>
    <t xml:space="preserve">  Revenue</t>
  </si>
  <si>
    <t xml:space="preserve">  YoY Growth</t>
  </si>
  <si>
    <t>-</t>
  </si>
  <si>
    <t xml:space="preserve">  Gross Profit</t>
  </si>
  <si>
    <t xml:space="preserve">  Gross Margin</t>
  </si>
  <si>
    <t xml:space="preserve">  EBIT</t>
  </si>
  <si>
    <t xml:space="preserve">  EBIT Margin</t>
  </si>
  <si>
    <t xml:space="preserve">  Net Income</t>
  </si>
  <si>
    <t xml:space="preserve">  Net Margin</t>
  </si>
  <si>
    <t xml:space="preserve">  EPS (diluted, €)</t>
  </si>
  <si>
    <t xml:space="preserve">  II.  SIMPLIFIED CASH FLOW METRICS</t>
  </si>
  <si>
    <t xml:space="preserve">  D&amp;A (approx.)</t>
  </si>
  <si>
    <t xml:space="preserve">  Capital Expenditure</t>
  </si>
  <si>
    <t xml:space="preserve">  Free Cash Flow (approx)</t>
  </si>
  <si>
    <t xml:space="preserve">    FCF Margin</t>
  </si>
  <si>
    <t xml:space="preserve">  FCF / Net Income</t>
  </si>
  <si>
    <t xml:space="preserve">  Order Intake (€m)</t>
  </si>
  <si>
    <t xml:space="preserve">  Order Backlog (€m)</t>
  </si>
  <si>
    <t xml:space="preserve">  III.  MARKET METRICS &amp; IMPLIED MULTIPLES</t>
  </si>
  <si>
    <t>AUDIT NOTE: FY2024 data corrected vs original model (EBIT +€540m, NI +€232m, D&amp;A +€357m, Capex +€678m). FY2025 updated from Estimate to Actual (Revenue +€867m, NI +€639m, EPS +€1.91, D&amp;A +€390m). Source: ASML 6-K Q4/FY2025 filed 28-Jan-2026 (SEC EDGAR).</t>
  </si>
  <si>
    <t xml:space="preserve">  P/E (trailing, ×)</t>
  </si>
  <si>
    <t>48.2x</t>
  </si>
  <si>
    <t>38.2x</t>
  </si>
  <si>
    <t>34.3x</t>
  </si>
  <si>
    <t>29.8x</t>
  </si>
  <si>
    <t xml:space="preserve">  EV/EBIT (×)</t>
  </si>
  <si>
    <t>ASML HOLDING N.V.  |  DISCOUNTED CASH FLOW VALUATION</t>
  </si>
  <si>
    <t>5-Year Forecast (FY2026–FY2030)  |  All figures in €m  |  Valued as of 31 March 2026  |  Blue = Input | Black = Formula | Green = Cross-sheet Link</t>
  </si>
  <si>
    <t xml:space="preserve">  Line Item</t>
  </si>
  <si>
    <t>FY2025E</t>
  </si>
  <si>
    <t>FY2026E</t>
  </si>
  <si>
    <t>FY2027E</t>
  </si>
  <si>
    <t>FY2028E</t>
  </si>
  <si>
    <t>FY2029E</t>
  </si>
  <si>
    <t>FY2030E</t>
  </si>
  <si>
    <t xml:space="preserve">  I.  REVENUE BUILD</t>
  </si>
  <si>
    <t xml:space="preserve">  Revenue (€m)</t>
  </si>
  <si>
    <t xml:space="preserve">    YoY Growth Rate</t>
  </si>
  <si>
    <t xml:space="preserve">  II.  EBIT  →  NOPAT  →  FREE CASH FLOW  (Simplified)</t>
  </si>
  <si>
    <t xml:space="preserve">  EBIT Margin (%)</t>
  </si>
  <si>
    <t xml:space="preserve">  EBIT (€m)</t>
  </si>
  <si>
    <t xml:space="preserve">  Tax (@ effective rate)</t>
  </si>
  <si>
    <t xml:space="preserve">  NOPAT (Net Op. Profit After Tax)</t>
  </si>
  <si>
    <t xml:space="preserve">  (+) D&amp;A (% of Revenue)</t>
  </si>
  <si>
    <t xml:space="preserve">  (–) Capex (% of Revenue)</t>
  </si>
  <si>
    <t xml:space="preserve">  (–) Δ Working Capital (% of Rev)</t>
  </si>
  <si>
    <t xml:space="preserve">  FREE CASH FLOW TO FIRM (FCFF)</t>
  </si>
  <si>
    <t xml:space="preserve">    FCF Margin (%)</t>
  </si>
  <si>
    <t xml:space="preserve">  III.  DISCOUNTING &amp; TERMINAL VALUE</t>
  </si>
  <si>
    <t xml:space="preserve">  Discount Period (years)</t>
  </si>
  <si>
    <t xml:space="preserve">  Discount Factor  [1/(1+WACC)^t]</t>
  </si>
  <si>
    <t xml:space="preserve">  PV of FCFF (discounted)</t>
  </si>
  <si>
    <t xml:space="preserve">  Sum of PV FCFFs (FY2026–FY2030)</t>
  </si>
  <si>
    <t xml:space="preserve">  Terminal Value  [Gordon Growth: FCF₂₀₃₀ × (1+g) / (WACC–g)]</t>
  </si>
  <si>
    <t xml:space="preserve">  PV of Terminal Value</t>
  </si>
  <si>
    <t xml:space="preserve">  IV.  EQUITY VALUE BRIDGE  →  INTRINSIC VALUE PER SHARE</t>
  </si>
  <si>
    <t xml:space="preserve">  Enterprise Value (Sum PV FCFF + PV Terminal Value)</t>
  </si>
  <si>
    <t xml:space="preserve">  (–) Net Debt / (+) Net Cash  [from Inputs]</t>
  </si>
  <si>
    <t xml:space="preserve">  Equity Value</t>
  </si>
  <si>
    <t xml:space="preserve">  Shares Outstanding (m)  [from Inputs]</t>
  </si>
  <si>
    <t xml:space="preserve">  INTRINSIC VALUE PER SHARE  (€)</t>
  </si>
  <si>
    <t xml:space="preserve">  Current Share Price (€)  [from Inputs]</t>
  </si>
  <si>
    <t xml:space="preserve">  Upside / (Downside)  (%)</t>
  </si>
  <si>
    <t>ASML HOLDING N.V.  |  COMPARATIVE (TRADING COMPS) VALUATION</t>
  </si>
  <si>
    <t xml:space="preserve">  I.  SEMICONDUCTOR EQUIPMENT PEER UNIVERSE</t>
  </si>
  <si>
    <t>Company</t>
  </si>
  <si>
    <t>Ticker</t>
  </si>
  <si>
    <t>Mkt Cap
(€/$ bn)</t>
  </si>
  <si>
    <t>NTM P/E
(×)</t>
  </si>
  <si>
    <t>EV/
EBITDA (×)</t>
  </si>
  <si>
    <t>EV/
Sales (×)</t>
  </si>
  <si>
    <t>Rev
Growth</t>
  </si>
  <si>
    <t>Gross
Margin</t>
  </si>
  <si>
    <t xml:space="preserve">  ASML Holding</t>
  </si>
  <si>
    <t>ASML NA</t>
  </si>
  <si>
    <t xml:space="preserve">  Applied Materials</t>
  </si>
  <si>
    <t>AMAT US</t>
  </si>
  <si>
    <t xml:space="preserve">  Lam Research</t>
  </si>
  <si>
    <t>LRCX US</t>
  </si>
  <si>
    <t xml:space="preserve">  KLA Corporation</t>
  </si>
  <si>
    <t>KLAC US</t>
  </si>
  <si>
    <t xml:space="preserve">  Tokyo Electron</t>
  </si>
  <si>
    <t>8035 JP</t>
  </si>
  <si>
    <t xml:space="preserve">  Peer Average (excl. ASML)</t>
  </si>
  <si>
    <t xml:space="preserve">  ASML Premium / (Discount)</t>
  </si>
  <si>
    <t xml:space="preserve">            -</t>
  </si>
  <si>
    <t xml:space="preserve">  II.  IMPLIED VALUATION  (Applying Peer Multiples to ASML)</t>
  </si>
  <si>
    <t>Methodology: Apply peer average multiple to ASML NTM metric → derive implied EV → subtract net debt → divide by shares outstanding. Results cross-validate DCF.</t>
  </si>
  <si>
    <t>Approach</t>
  </si>
  <si>
    <t>Multiple Used</t>
  </si>
  <si>
    <t>Peer Avg
Multiple</t>
  </si>
  <si>
    <t>ASML
Metric</t>
  </si>
  <si>
    <t>Implied EV
(€m)</t>
  </si>
  <si>
    <t>– Net Debt
(€m)</t>
  </si>
  <si>
    <t>Equity Val
(€m)</t>
  </si>
  <si>
    <t>Implied
Price (€)</t>
  </si>
  <si>
    <t xml:space="preserve">  P/E Implied Price</t>
  </si>
  <si>
    <t>NTM P/E</t>
  </si>
  <si>
    <t>N/A — P/E method does not use EV bridge</t>
  </si>
  <si>
    <t xml:space="preserve">  EV/EBITDA Implied Price</t>
  </si>
  <si>
    <t>NTM EV/EBITDA</t>
  </si>
  <si>
    <t xml:space="preserve">  Average Implied Price (Comps, €)</t>
  </si>
  <si>
    <t xml:space="preserve">  Current Share Price (€)</t>
  </si>
  <si>
    <t>ASML HOLDING N.V.  |  CAPM — REQUIRED RETURN ANALYSIS</t>
  </si>
  <si>
    <t>Capital Asset Pricing Model: E(Ri) = Rf + βi × [E(Rm) – Rf]   |  Blue = Input | Black = Formula</t>
  </si>
  <si>
    <t>Parameter</t>
  </si>
  <si>
    <t>Units</t>
  </si>
  <si>
    <t xml:space="preserve">  I.  CAPM INPUTS</t>
  </si>
  <si>
    <t xml:space="preserve">  Risk-Free Rate  (Rf)</t>
  </si>
  <si>
    <t>% p.a.</t>
  </si>
  <si>
    <t xml:space="preserve">  Equity Beta  (β)</t>
  </si>
  <si>
    <t>5Y monthly</t>
  </si>
  <si>
    <t xml:space="preserve">  Equity Risk Premium  (ERP)</t>
  </si>
  <si>
    <t>Damodaran Implied ERP for Western Europe, January 2025 update. URL: pages.stern.nyu.edu/~adamodar</t>
  </si>
  <si>
    <t xml:space="preserve">  Market Return  E(Rm)</t>
  </si>
  <si>
    <t>Formula: Rf + ERP; implied from CAPM inputs above</t>
  </si>
  <si>
    <t xml:space="preserve">  II.  CAPM OUTPUT — REQUIRED RETURN</t>
  </si>
  <si>
    <t xml:space="preserve">  Required Return  E(Ri) = Rf + β × ERP</t>
  </si>
  <si>
    <t>Formula: 2.8% + (1.35 × 5.5%) = 10.225% ≈ 10.2%. Updated Rf = 2.8% (Mar-2026). This is the MINIMUM annual return required to compensate for ASML's systematic risk.</t>
  </si>
  <si>
    <t xml:space="preserve">  III.  ALPHA SIGNAL  (DCF Implied Return vs Required Return)</t>
  </si>
  <si>
    <t xml:space="preserve">  DCF Intrinsic Value (€/share)</t>
  </si>
  <si>
    <t>€/share</t>
  </si>
  <si>
    <t>Cross-link from DCF sheet; Gordon-Growth DCF output</t>
  </si>
  <si>
    <t xml:space="preserve">  Current Share Price (€/share)</t>
  </si>
  <si>
    <t>Cross-link from Inputs sheet; €1,150/share Euronext closing price, March 2026. Source: Bloomberg / Yahoo Finance (ASML.AS), Mar-2026</t>
  </si>
  <si>
    <t xml:space="preserve">  Implied Capital Gain (3-Year)</t>
  </si>
  <si>
    <t>3-year convergence formula: (DCF Intrinsic / Current Price)^(1/3) – 1. Assumes price gradually converges to intrinsic value over 3 years. Negative result → model implies stock is ABOVE intrinsic value → overvaluation signal.</t>
  </si>
  <si>
    <t xml:space="preserve">  Dividend Yield (approx.)</t>
  </si>
  <si>
    <t>ASML FY2025 total dividend ~€10.80/share (4 × €2.70). Yield at €1,150 = 0.94%. Used 0.9% conservative estimate. Source: ASML investor relations / Digrin, Mar-2026</t>
  </si>
  <si>
    <t xml:space="preserve">  Total Implied Return  (3Y Ann. Capital Gain + Div Yield)</t>
  </si>
  <si>
    <t xml:space="preserve">  Required Return  (CAPM)</t>
  </si>
  <si>
    <t>Cross-link from CAPM output above</t>
  </si>
  <si>
    <t xml:space="preserve">  ALPHA  (Implied – Required)</t>
  </si>
  <si>
    <t xml:space="preserve">  IV.  MARKET EFFICIENCY ASSESSMENT</t>
  </si>
  <si>
    <t xml:space="preserve">  Market Efficiency Form</t>
  </si>
  <si>
    <t>Semi-Strong</t>
  </si>
  <si>
    <t>Degree</t>
  </si>
  <si>
    <t>ASML is a large-cap, high-analyst-coverage stock. Public info (earnings, guidance, export controls) rapidly reflected in price.</t>
  </si>
  <si>
    <t xml:space="preserve">  Identified Pricing Anomaly?</t>
  </si>
  <si>
    <t>NO — Model-Implied OVERVALUATION</t>
  </si>
  <si>
    <t>Judgement</t>
  </si>
  <si>
    <t>Both DCF and Comps imply market price significantly exceeds model intrinsic value. The market IS pricing in more aggressive assumptions: High-NA ramp beyond model scope, AI-driven TSMC/Samsung CapEx optionality, and IBM segment compounding. This does NOT mean ASML is a bad business — it means the current price reflects optimistic scenario, not base-case conservative estimates.</t>
  </si>
  <si>
    <t xml:space="preserve">  Behavioral Bias Identified</t>
  </si>
  <si>
    <t>Momentum + FOMO Bias</t>
  </si>
  <si>
    <t>Type</t>
  </si>
  <si>
    <t>Stock up 103% over the last 12 months (to Mar-2026). Momentum traders and AI-theme index flows driving premium valuations. FOMO (fear of missing out) as ASML becomes proxy for AI hardware supply chain investment.</t>
  </si>
  <si>
    <t xml:space="preserve">  Analyst Consensus Bias</t>
  </si>
  <si>
    <t>Consensus targets above model</t>
  </si>
  <si>
    <t>Sell-side consensus price targets range €955–€1,700, median ~€1,400. Most analysts assign higher growth/margin assumptions than our conservative base case, justifying higher valuations. Model underpins a bear/base case floor valuation. Source: TradingView analyst estimates, Mar-2026</t>
  </si>
  <si>
    <t>ASML HOLDING N.V.  |  VALUATION SUMMARY  —  REPORT-READY OUTPUT</t>
  </si>
  <si>
    <t xml:space="preserve">  A.  ANALYST RECOMMENDATION</t>
  </si>
  <si>
    <t xml:space="preserve">  Rating</t>
  </si>
  <si>
    <t>HOLD</t>
  </si>
  <si>
    <t xml:space="preserve">  12-Month Price Target (€)</t>
  </si>
  <si>
    <t xml:space="preserve">  Upside Potential (%)</t>
  </si>
  <si>
    <t xml:space="preserve">  Sector</t>
  </si>
  <si>
    <t>Semiconductors / WFE</t>
  </si>
  <si>
    <t xml:space="preserve">  Exchange</t>
  </si>
  <si>
    <t>Euronext Amsterdam / NASDAQ</t>
  </si>
  <si>
    <t xml:space="preserve">  B.  VALUATION OUTPUT SUMMARY  (Cross-referenced to Model)</t>
  </si>
  <si>
    <t>Valuation Method</t>
  </si>
  <si>
    <t>Output Value (€)</t>
  </si>
  <si>
    <t>Notes</t>
  </si>
  <si>
    <t>Sheet Reference</t>
  </si>
  <si>
    <t xml:space="preserve">  DCF Intrinsic Value</t>
  </si>
  <si>
    <t>FCFF DCF, WACC 9.0%, TGR 3.0%</t>
  </si>
  <si>
    <t>3. DCF VALUATION</t>
  </si>
  <si>
    <t>Peer avg P/E applied to NTM EPS</t>
  </si>
  <si>
    <t>4. COMP VALUATION</t>
  </si>
  <si>
    <t>Peer avg EV/EBITDA × NTM EBITDA</t>
  </si>
  <si>
    <t xml:space="preserve">  Average (Comps)</t>
  </si>
  <si>
    <t>Average of comp methods</t>
  </si>
  <si>
    <t xml:space="preserve">  Current Share Price</t>
  </si>
  <si>
    <t>Euronext, March 2026</t>
  </si>
  <si>
    <t>1. INPUTS</t>
  </si>
  <si>
    <t xml:space="preserve">  C.  CAPM OUTPUT SUMMARY</t>
  </si>
  <si>
    <t>Formula</t>
  </si>
  <si>
    <t>Interpretation</t>
  </si>
  <si>
    <t xml:space="preserve">  Risk-Free Rate (Rf)</t>
  </si>
  <si>
    <t>Given</t>
  </si>
  <si>
    <t xml:space="preserve">  Beta (β)</t>
  </si>
  <si>
    <t>5Y monthly regression</t>
  </si>
  <si>
    <t>Reflects WFE sector cyclicality</t>
  </si>
  <si>
    <t xml:space="preserve">  ERP</t>
  </si>
  <si>
    <t>Damodaran 2025</t>
  </si>
  <si>
    <t>Western Europe implied ERP</t>
  </si>
  <si>
    <t xml:space="preserve">  Required Return E(Ri)</t>
  </si>
  <si>
    <t>Rf + β×ERP</t>
  </si>
  <si>
    <t>Min return to hold ASML</t>
  </si>
  <si>
    <t xml:space="preserve">  Implied Total Return</t>
  </si>
  <si>
    <t>(TV/P₀–1) + Div Yield</t>
  </si>
  <si>
    <t>IRR from DCF + dividend</t>
  </si>
  <si>
    <t xml:space="preserve">  Alpha Signal</t>
  </si>
  <si>
    <t xml:space="preserve">  D.  KEY FINANCIAL METRICS  (For Report Tables)</t>
  </si>
  <si>
    <t>Metric</t>
  </si>
  <si>
    <t>FY2024A</t>
  </si>
  <si>
    <t xml:space="preserve">  Net Income (€m)</t>
  </si>
  <si>
    <t xml:space="preserve">  EPS (€, diluted)</t>
  </si>
  <si>
    <t xml:space="preserve">  P/E (×)</t>
  </si>
  <si>
    <t>Updated (Mar-2026): Alpha is NEGATIVE (-23% approx). This means the implied return from DCF convergence UNDERPERFORMS the CAPM required return. Interpretation: HOLD — the stock offers less than required return at current price based on our model. The market disagrees, pricing in optionality beyond base-case. Key viva point: negative alpha ≠ sell if growth assumptions are conservative.</t>
  </si>
  <si>
    <t>Year</t>
  </si>
  <si>
    <t>Revenue (€m)</t>
  </si>
  <si>
    <t>EBIT Margin</t>
  </si>
  <si>
    <t>Net Margin</t>
  </si>
  <si>
    <t>P/E (×)</t>
  </si>
  <si>
    <t>EV/EBITDA (×)</t>
  </si>
  <si>
    <t>FY2021</t>
  </si>
  <si>
    <t>ASML</t>
  </si>
  <si>
    <t>FY2022</t>
  </si>
  <si>
    <t>Applied Materials</t>
  </si>
  <si>
    <t>FY2023</t>
  </si>
  <si>
    <t>Lam Research</t>
  </si>
  <si>
    <t>FY2024</t>
  </si>
  <si>
    <t>KLA Corporation</t>
  </si>
  <si>
    <t>Tokyo Electron</t>
  </si>
  <si>
    <t xml:space="preserve"> All figures in €m unless stated</t>
  </si>
  <si>
    <t xml:space="preserve">  Net Debt (FY2025)</t>
  </si>
  <si>
    <t>AUDIT NOTE (Mar-2026 update): FY2025 base reflects actual revenue €32,667m (+15.6% vs prior FY2025E of €31,800m). D&amp;A assumption updated from 2.0% to 3.0% of revenue based on FY2025 actual D&amp;A of €1,026m (3.14% of revenue). Net cash updated to €11,000m (FY2025 cash €13,322m less debt ~€2,300m). Discount periods corrected to mid-year convention from 31-Mar-2026 (FY2026=0.5y ... FY2030=4.5y). WACC: 10.0% (CAPM-derived: Rf 2.8% + Beta 1.35 × ERP 5.5% = 10.2% Ke; net debt ~zero → WACC≈Ke less small debt benefit).</t>
  </si>
  <si>
    <t>NTM = Next Twelve Months (FY2026E) consensus  |  Source:ASML Annual Reports, SEC 6-K filings, and consensus-based estimates derived from publicly available financial data platforms March 2026  |  Figures in EUR unless noted</t>
  </si>
  <si>
    <t>AUDIT NOTE (Mar-2026 update): Peer multiples aligned to March 2026 market conditions using consensus-based estimates derived from publicly available financial data platforms. ASML P/E ~40x vs peer avg ~24x (+67% premium). P/E methodology: Price = EPS × Peer P/E (no EV bridge). EV/EBITDA methodology: Implied EV derived from peer multiple, then adjusted for net cash and divided by shares outstanding. Net debt sign corrected: ASML net cash €11,000m is added to implied EV. NTM EBITDA proxied using FY2026E forecast consistent with consensus growth assumptions. All per-share outputs in EUR (no ×1000 applied). Source: ASML Annual Reports, SEC 6-K Q4 2025, and publicly available financial data platforms.</t>
  </si>
  <si>
    <t>10Y German Bund yield ~2.8% as of March 2026. Slightly higher than Apr-2025 (2.5%) reflecting ECB rate environment. Source:Source: Deutsche Bundesbank, Yahoo Finance, publicly available financial data platforms (Mar-2026)</t>
  </si>
  <si>
    <t>Negative alpha → current price EXCEEDS model intrinsic value → Negative alpha suggests the stock appears overvalued under the model’s base-case assumptions.</t>
  </si>
  <si>
    <t>Total implied return = (annual capital gain from 3Y convergence) + dividend yield. When negative: This represents a valuation-based return proxy rather than a precise forecast. It indicates that the current market price embeds more optimistic assumptions than the model.</t>
  </si>
  <si>
    <t>Reflects WFE cyclicality + geopolitical risk premium. Damodaran sector beta: ~1.2–1.4</t>
  </si>
  <si>
    <t>NOTE: Negative alpha means the market price EXCEEDS our model intrinsic value - the stock is NOT a BUY on pure model grounds. The market assigns a significant premium for: (1) High-NA EUV option value, (2) AI-era demand visibility, (3) monopoly durability. Key exam point: CAPM tells us the REQUIRED return; comparing to implied return gives alpha. Negative alpha = price is too high relative to intrinsic value under our assumptions. Beta 1.35 (WFE cyclicality). Rf 2.8% (Bund Mar-2026). ERP 5.5% (Damodaran 2026, damodaran.com).</t>
  </si>
  <si>
    <t xml:space="preserve">  March 2026  |  Updated with FY2025 &amp; Mar-2026 Market Data</t>
  </si>
  <si>
    <t>10Y German Bund, Mar-2026</t>
  </si>
  <si>
    <t>Negative → stock ABOVE model intrinsic value → Hold recommendation reflects strong business fundamentals offset by valuation premium relative to intrinsic value estimates.</t>
  </si>
  <si>
    <t>Implied - Required</t>
  </si>
  <si>
    <t xml:space="preserve">ASML — EMBEDDED CHARTS  |  March 2026 </t>
  </si>
  <si>
    <t>Net Income (€m)</t>
  </si>
  <si>
    <t>Euronext ATH: €1,312.80 on 25-Feb-2026 (post FY2025 record results). Source:MacroTrends, 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</si>
</sst>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"/>
    <numFmt numFmtId="165" formatCode="0.0%"/>
    <numFmt numFmtId="166" formatCode="0.0\x"/>
    <numFmt numFmtId="167" formatCode="0.0"/>
    <numFmt numFmtId="168" formatCode="0.0000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AABBCC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666666"/>
      <name val="Arial"/>
      <family val="2"/>
    </font>
    <font>
      <i/>
      <sz val="9"/>
      <color rgb="FF666666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1"/>
      <color rgb="FFFFFFFF"/>
      <name val="Arial"/>
      <family val="2"/>
    </font>
    <font>
      <b/>
      <sz val="10"/>
      <color rgb="FF008000"/>
      <name val="Arial"/>
      <family val="2"/>
    </font>
    <font>
      <b/>
      <sz val="9"/>
      <color rgb="FF0000FF"/>
      <name val="Arial"/>
      <family val="2"/>
    </font>
    <font>
      <b/>
      <sz val="9"/>
      <color rgb="FF008000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b/>
      <sz val="10"/>
      <color rgb="FF1A7A4A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  <charset val="1"/>
    </font>
    <font>
      <i/>
      <sz val="10"/>
      <color rgb="FF666666"/>
      <name val="Arial"/>
      <family val="2"/>
    </font>
    <font>
      <sz val="10"/>
      <color rgb="FF000000"/>
      <name val="Arial"/>
      <family val="2"/>
      <charset val="1"/>
    </font>
    <font>
      <b/>
      <sz val="10"/>
      <color rgb="FFC0392B"/>
      <name val="Arial"/>
      <family val="2"/>
    </font>
    <font>
      <b/>
      <sz val="14"/>
      <color rgb="FFB8860B"/>
      <name val="Arial"/>
      <family val="2"/>
    </font>
    <font>
      <sz val="10"/>
      <color rgb="FF2E6DA4"/>
      <name val="Arial"/>
      <family val="2"/>
    </font>
    <font>
      <b/>
      <sz val="10"/>
      <color rgb="FF1B2A4A"/>
      <name val="Arial"/>
      <family val="2"/>
    </font>
    <font>
      <b/>
      <sz val="12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A7A"/>
        <bgColor rgb="FF2E6DA4"/>
      </patternFill>
    </fill>
    <fill>
      <patternFill patternType="solid">
        <fgColor rgb="FFF5F5F5"/>
        <bgColor rgb="FFF9F9F9"/>
      </patternFill>
    </fill>
    <fill>
      <patternFill patternType="solid">
        <fgColor rgb="FFDCE6F1"/>
        <bgColor rgb="FFD6E4F0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E8F5E9"/>
      </patternFill>
    </fill>
    <fill>
      <patternFill patternType="solid">
        <fgColor rgb="FFEBF3FF"/>
        <bgColor rgb="FFF5F5F5"/>
      </patternFill>
    </fill>
    <fill>
      <patternFill patternType="solid">
        <fgColor rgb="FFFFF8E7"/>
        <bgColor rgb="FFF9F9F9"/>
      </patternFill>
    </fill>
    <fill>
      <patternFill patternType="solid">
        <fgColor rgb="FFFFF3CD"/>
        <bgColor rgb="FFFFF8E7"/>
      </patternFill>
    </fill>
    <fill>
      <patternFill patternType="solid">
        <fgColor rgb="FFE8F5E9"/>
        <bgColor rgb="FFE2EFDA"/>
      </patternFill>
    </fill>
    <fill>
      <patternFill patternType="solid">
        <fgColor rgb="FFD6E4F0"/>
        <bgColor rgb="FFDCE6F1"/>
      </patternFill>
    </fill>
    <fill>
      <patternFill patternType="solid">
        <fgColor rgb="FFD9D9D9"/>
        <bgColor rgb="FFD6E4F0"/>
      </patternFill>
    </fill>
    <fill>
      <patternFill patternType="solid">
        <fgColor rgb="FFFDECEA"/>
        <bgColor rgb="FFF5F5F5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E6DA4"/>
      </patternFill>
    </fill>
    <fill>
      <patternFill patternType="solid">
        <fgColor theme="0"/>
        <bgColor rgb="FFFFF8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56">
    <xf numFmtId="0" fontId="0" fillId="0" borderId="0" xfId="0"/>
    <xf numFmtId="3" fontId="10" fillId="6" borderId="2" xfId="0" applyNumberFormat="1" applyFont="1" applyFill="1" applyBorder="1" applyAlignment="1">
      <alignment horizontal="center" vertical="center"/>
    </xf>
    <xf numFmtId="3" fontId="12" fillId="7" borderId="2" xfId="0" applyNumberFormat="1" applyFont="1" applyFill="1" applyBorder="1" applyAlignment="1">
      <alignment horizontal="center" vertical="center"/>
    </xf>
    <xf numFmtId="3" fontId="5" fillId="10" borderId="2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8" fillId="4" borderId="2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4" fontId="6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4" fontId="10" fillId="7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3" fontId="6" fillId="8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4" fontId="12" fillId="7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165" fontId="10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166" fontId="10" fillId="7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3" fontId="12" fillId="9" borderId="1" xfId="0" applyNumberFormat="1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165" fontId="10" fillId="11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3" fontId="9" fillId="11" borderId="1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167" fontId="7" fillId="4" borderId="1" xfId="0" applyNumberFormat="1" applyFont="1" applyFill="1" applyBorder="1" applyAlignment="1">
      <alignment horizontal="center" vertical="center"/>
    </xf>
    <xf numFmtId="168" fontId="9" fillId="11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3" fontId="9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0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4" fontId="12" fillId="12" borderId="1" xfId="0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165" fontId="12" fillId="1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0" fillId="13" borderId="1" xfId="0" applyFill="1" applyBorder="1" applyAlignment="1">
      <alignment horizontal="center"/>
    </xf>
    <xf numFmtId="166" fontId="5" fillId="13" borderId="1" xfId="0" applyNumberFormat="1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5" fontId="5" fillId="7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2" fontId="10" fillId="11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2" fontId="17" fillId="11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2" fontId="17" fillId="7" borderId="1" xfId="0" applyNumberFormat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165" fontId="17" fillId="7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2" fontId="10" fillId="7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2" fontId="10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24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3" fontId="10" fillId="8" borderId="1" xfId="0" applyNumberFormat="1" applyFont="1" applyFill="1" applyBorder="1" applyAlignment="1">
      <alignment horizontal="center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2" fontId="10" fillId="9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166" fontId="10" fillId="9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6" fontId="9" fillId="6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2" fontId="12" fillId="7" borderId="2" xfId="0" applyNumberFormat="1" applyFont="1" applyFill="1" applyBorder="1" applyAlignment="1">
      <alignment horizontal="center" vertical="center"/>
    </xf>
    <xf numFmtId="2" fontId="10" fillId="6" borderId="2" xfId="0" applyNumberFormat="1" applyFont="1" applyFill="1" applyBorder="1" applyAlignment="1">
      <alignment horizontal="center" vertical="center"/>
    </xf>
    <xf numFmtId="165" fontId="17" fillId="7" borderId="2" xfId="0" applyNumberFormat="1" applyFont="1" applyFill="1" applyBorder="1" applyAlignment="1">
      <alignment horizontal="center" vertical="center"/>
    </xf>
    <xf numFmtId="0" fontId="0" fillId="0" borderId="0" xfId="0"/>
    <xf numFmtId="0" fontId="20" fillId="4" borderId="0" xfId="0" applyFont="1" applyFill="1" applyAlignment="1">
      <alignment horizontal="center" vertical="center"/>
    </xf>
    <xf numFmtId="0" fontId="23" fillId="10" borderId="2" xfId="0" applyFont="1" applyFill="1" applyBorder="1" applyAlignment="1">
      <alignment horizontal="center" vertical="center"/>
    </xf>
    <xf numFmtId="2" fontId="5" fillId="7" borderId="2" xfId="0" applyNumberFormat="1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left" vertical="center"/>
    </xf>
    <xf numFmtId="0" fontId="8" fillId="17" borderId="2" xfId="0" applyFont="1" applyFill="1" applyBorder="1" applyAlignment="1">
      <alignment horizontal="left" vertical="center" wrapText="1"/>
    </xf>
    <xf numFmtId="0" fontId="0" fillId="18" borderId="0" xfId="0" applyFill="1"/>
    <xf numFmtId="0" fontId="11" fillId="19" borderId="2" xfId="0" applyFont="1" applyFill="1" applyBorder="1" applyAlignment="1">
      <alignment horizontal="center" vertical="center"/>
    </xf>
    <xf numFmtId="0" fontId="25" fillId="2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1CE9755-40CB-4489-A2B6-8A45662CC903}"/>
  </tableStyles>
  <colors>
    <indexedColors>
      <rgbColor rgb="FF000000"/>
      <rgbColor rgb="FFFFFFFF"/>
      <rgbColor rgb="FFFF0000"/>
      <rgbColor rgb="FF00FF00"/>
      <rgbColor rgb="FF0000FF"/>
      <rgbColor rgb="FFFDECEA"/>
      <rgbColor rgb="FFFF00FF"/>
      <rgbColor rgb="FF00FFFF"/>
      <rgbColor rgb="FF800000"/>
      <rgbColor rgb="FF008000"/>
      <rgbColor rgb="FF000080"/>
      <rgbColor rgb="FFB8860B"/>
      <rgbColor rgb="FF800080"/>
      <rgbColor rgb="FF1A7A4A"/>
      <rgbColor rgb="FFCCCCCC"/>
      <rgbColor rgb="FF878787"/>
      <rgbColor rgb="FF9999FF"/>
      <rgbColor rgb="FF993366"/>
      <rgbColor rgb="FFFFF3CD"/>
      <rgbColor rgb="FFE8F5E9"/>
      <rgbColor rgb="FF660066"/>
      <rgbColor rgb="FFFF8080"/>
      <rgbColor rgb="FF2E6DA4"/>
      <rgbColor rgb="FFB8C9E0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BF3FF"/>
      <rgbColor rgb="FFE2EFDA"/>
      <rgbColor rgb="FFFFF8E7"/>
      <rgbColor rgb="FFAABBCC"/>
      <rgbColor rgb="FFDCE6F1"/>
      <rgbColor rgb="FFD6E4F0"/>
      <rgbColor rgb="FFD9D9D9"/>
      <rgbColor rgb="FF3366FF"/>
      <rgbColor rgb="FF33CCCC"/>
      <rgbColor rgb="FF99CC00"/>
      <rgbColor rgb="FFF9F9F9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2E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ASML Revenue Trend (FY2021–FY2030E)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Revenue (€m)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CHARTS!$A$4:$A$13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FY2025E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CHARTS!$C$4:$C$13</c:f>
              <c:numCache>
                <c:formatCode>#,##0</c:formatCode>
                <c:ptCount val="10"/>
                <c:pt idx="0">
                  <c:v>18611</c:v>
                </c:pt>
                <c:pt idx="1">
                  <c:v>21173</c:v>
                </c:pt>
                <c:pt idx="2">
                  <c:v>27559</c:v>
                </c:pt>
                <c:pt idx="3">
                  <c:v>28261</c:v>
                </c:pt>
                <c:pt idx="4">
                  <c:v>32667</c:v>
                </c:pt>
                <c:pt idx="5">
                  <c:v>36587.040000000001</c:v>
                </c:pt>
                <c:pt idx="6">
                  <c:v>40245.744000000006</c:v>
                </c:pt>
                <c:pt idx="7">
                  <c:v>43465.403520000007</c:v>
                </c:pt>
                <c:pt idx="8">
                  <c:v>46073.327731200006</c:v>
                </c:pt>
                <c:pt idx="9">
                  <c:v>48376.994117760012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7-4716-8C7C-DC7EEA661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8737"/>
        <c:axId val="40977929"/>
      </c:barChart>
      <c:catAx>
        <c:axId val="139587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77929"/>
        <c:crosses val="autoZero"/>
        <c:auto val="1"/>
        <c:lblAlgn val="ctr"/>
        <c:lblOffset val="100"/>
        <c:noMultiLvlLbl val="0"/>
      </c:catAx>
      <c:valAx>
        <c:axId val="40977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(€m)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58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ASML Margin Trend (FY2021–FY2030E)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CHARTS!$D$3</c:f>
              <c:strCache>
                <c:ptCount val="1"/>
                <c:pt idx="0">
                  <c:v>EBIT Margin</c:v>
                </c:pt>
              </c:strCache>
            </c:strRef>
          </c:tx>
          <c:spPr>
            <a:ln w="2016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CHARTS!$A$4:$A$13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FY2025E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CHARTS!$D$4:$D$13</c:f>
              <c:numCache>
                <c:formatCode>0.0%</c:formatCode>
                <c:ptCount val="10"/>
                <c:pt idx="0">
                  <c:v>0.30793616678308527</c:v>
                </c:pt>
                <c:pt idx="1">
                  <c:v>0.28111273792093705</c:v>
                </c:pt>
                <c:pt idx="2">
                  <c:v>0.32711636851845133</c:v>
                </c:pt>
                <c:pt idx="3">
                  <c:v>0.31927391104348751</c:v>
                </c:pt>
                <c:pt idx="4">
                  <c:v>0.34594544953622924</c:v>
                </c:pt>
                <c:pt idx="5">
                  <c:v>0.33</c:v>
                </c:pt>
                <c:pt idx="6">
                  <c:v>0.33</c:v>
                </c:pt>
                <c:pt idx="7">
                  <c:v>0.34</c:v>
                </c:pt>
                <c:pt idx="8">
                  <c:v>0.34</c:v>
                </c:pt>
                <c:pt idx="9">
                  <c:v>0.35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FB-4EDF-BB42-25BCB3ED929C}"/>
            </c:ext>
          </c:extLst>
        </c:ser>
        <c:ser>
          <c:idx val="1"/>
          <c:order val="1"/>
          <c:tx>
            <c:strRef>
              <c:f>CHARTS!$E$3</c:f>
              <c:strCache>
                <c:ptCount val="1"/>
                <c:pt idx="0">
                  <c:v>Net Margin</c:v>
                </c:pt>
              </c:strCache>
            </c:strRef>
          </c:tx>
          <c:spPr>
            <a:ln w="20160">
              <a:solidFill>
                <a:srgbClr val="B8860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CHARTS!$A$4:$A$13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FY2025E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CHARTS!$E$4:$E$13</c:f>
              <c:numCache>
                <c:formatCode>0.0%</c:formatCode>
                <c:ptCount val="10"/>
                <c:pt idx="0">
                  <c:v>0.31604964805760033</c:v>
                </c:pt>
                <c:pt idx="1">
                  <c:v>0.26562131015916496</c:v>
                </c:pt>
                <c:pt idx="2">
                  <c:v>0.28437171160056607</c:v>
                </c:pt>
                <c:pt idx="3">
                  <c:v>0.26793107108736419</c:v>
                </c:pt>
                <c:pt idx="4">
                  <c:v>0.29415005969326846</c:v>
                </c:pt>
                <c:pt idx="5">
                  <c:v>0.28215000000000001</c:v>
                </c:pt>
                <c:pt idx="6">
                  <c:v>0.28215000000000001</c:v>
                </c:pt>
                <c:pt idx="7">
                  <c:v>0.29070000000000001</c:v>
                </c:pt>
                <c:pt idx="8">
                  <c:v>0.29070000000000001</c:v>
                </c:pt>
                <c:pt idx="9">
                  <c:v>0.29925000000000002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FB-4EDF-BB42-25BCB3ED9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129416"/>
        <c:axId val="11301469"/>
      </c:lineChart>
      <c:catAx>
        <c:axId val="851294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01469"/>
        <c:crosses val="autoZero"/>
        <c:auto val="1"/>
        <c:lblAlgn val="ctr"/>
        <c:lblOffset val="100"/>
        <c:noMultiLvlLbl val="0"/>
      </c:catAx>
      <c:valAx>
        <c:axId val="11301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129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Peer Valuation Comparison — P/E vs EV/EBITDA (NTM)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CHARTS!$H$3</c:f>
              <c:strCache>
                <c:ptCount val="1"/>
                <c:pt idx="0">
                  <c:v>P/E (×)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CHARTS!$G$4:$G$8</c:f>
              <c:strCache>
                <c:ptCount val="5"/>
                <c:pt idx="0">
                  <c:v>ASML</c:v>
                </c:pt>
                <c:pt idx="1">
                  <c:v>Applied Materials</c:v>
                </c:pt>
                <c:pt idx="2">
                  <c:v>Lam Research</c:v>
                </c:pt>
                <c:pt idx="3">
                  <c:v>KLA Corporation</c:v>
                </c:pt>
                <c:pt idx="4">
                  <c:v>Tokyo Electron</c:v>
                </c:pt>
              </c:strCache>
            </c:strRef>
          </c:cat>
          <c:val>
            <c:numRef>
              <c:f>CHARTS!$H$4:$H$8</c:f>
              <c:numCache>
                <c:formatCode>0.0\x</c:formatCode>
                <c:ptCount val="5"/>
                <c:pt idx="0">
                  <c:v>40</c:v>
                </c:pt>
                <c:pt idx="1">
                  <c:v>20</c:v>
                </c:pt>
                <c:pt idx="2">
                  <c:v>22</c:v>
                </c:pt>
                <c:pt idx="3">
                  <c:v>25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5-4DD8-AC44-C5C2924AD45E}"/>
            </c:ext>
          </c:extLst>
        </c:ser>
        <c:ser>
          <c:idx val="1"/>
          <c:order val="1"/>
          <c:tx>
            <c:strRef>
              <c:f>CHARTS!$I$3</c:f>
              <c:strCache>
                <c:ptCount val="1"/>
                <c:pt idx="0">
                  <c:v>EV/EBITDA (×)</c:v>
                </c:pt>
              </c:strCache>
            </c:strRef>
          </c:tx>
          <c:spPr>
            <a:solidFill>
              <a:srgbClr val="B8C9E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CHARTS!$G$4:$G$8</c:f>
              <c:strCache>
                <c:ptCount val="5"/>
                <c:pt idx="0">
                  <c:v>ASML</c:v>
                </c:pt>
                <c:pt idx="1">
                  <c:v>Applied Materials</c:v>
                </c:pt>
                <c:pt idx="2">
                  <c:v>Lam Research</c:v>
                </c:pt>
                <c:pt idx="3">
                  <c:v>KLA Corporation</c:v>
                </c:pt>
                <c:pt idx="4">
                  <c:v>Tokyo Electron</c:v>
                </c:pt>
              </c:strCache>
            </c:strRef>
          </c:cat>
          <c:val>
            <c:numRef>
              <c:f>CHARTS!$I$4:$I$8</c:f>
              <c:numCache>
                <c:formatCode>0.0\x</c:formatCode>
                <c:ptCount val="5"/>
                <c:pt idx="0">
                  <c:v>31</c:v>
                </c:pt>
                <c:pt idx="1">
                  <c:v>15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5-4DD8-AC44-C5C2924AD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364505"/>
        <c:axId val="63880788"/>
      </c:barChart>
      <c:catAx>
        <c:axId val="653645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80788"/>
        <c:crosses val="autoZero"/>
        <c:auto val="1"/>
        <c:lblAlgn val="ctr"/>
        <c:lblOffset val="100"/>
        <c:noMultiLvlLbl val="0"/>
      </c:catAx>
      <c:valAx>
        <c:axId val="63880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Multiple (×)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645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548640</xdr:colOff>
      <xdr:row>36</xdr:row>
      <xdr:rowOff>127800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38100</xdr:colOff>
      <xdr:row>13</xdr:row>
      <xdr:rowOff>121920</xdr:rowOff>
    </xdr:from>
    <xdr:to>
      <xdr:col>19</xdr:col>
      <xdr:colOff>236100</xdr:colOff>
      <xdr:row>36</xdr:row>
      <xdr:rowOff>66840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23040</xdr:colOff>
      <xdr:row>37</xdr:row>
      <xdr:rowOff>144720</xdr:rowOff>
    </xdr:from>
    <xdr:to>
      <xdr:col>7</xdr:col>
      <xdr:colOff>571680</xdr:colOff>
      <xdr:row>58</xdr:row>
      <xdr:rowOff>74520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D45"/>
  <sheetViews>
    <sheetView showGridLines="0" zoomScaleNormal="10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D11" sqref="D11"/>
    </sheetView>
  </sheetViews>
  <sheetFormatPr defaultColWidth="8.6640625" defaultRowHeight="14.4" x14ac:dyDescent="0.3"/>
  <cols>
    <col min="1" max="1" width="34" customWidth="1"/>
    <col min="2" max="2" width="18" customWidth="1"/>
    <col min="3" max="3" width="22" customWidth="1"/>
    <col min="4" max="4" width="42" customWidth="1"/>
  </cols>
  <sheetData>
    <row r="1" spans="1:4" ht="30" customHeight="1" x14ac:dyDescent="0.3">
      <c r="A1" s="14" t="s">
        <v>0</v>
      </c>
      <c r="B1" s="14"/>
      <c r="C1" s="14"/>
      <c r="D1" s="14"/>
    </row>
    <row r="2" spans="1:4" ht="18" customHeight="1" x14ac:dyDescent="0.3">
      <c r="A2" s="13" t="s">
        <v>306</v>
      </c>
      <c r="B2" s="13"/>
      <c r="C2" s="13"/>
      <c r="D2" s="13"/>
    </row>
    <row r="3" spans="1:4" ht="7.5" customHeight="1" x14ac:dyDescent="0.3"/>
    <row r="4" spans="1:4" ht="19.5" customHeight="1" x14ac:dyDescent="0.3">
      <c r="A4" s="15" t="s">
        <v>1</v>
      </c>
      <c r="B4" s="15" t="s">
        <v>2</v>
      </c>
      <c r="C4" s="15" t="s">
        <v>3</v>
      </c>
      <c r="D4" s="15" t="s">
        <v>4</v>
      </c>
    </row>
    <row r="5" spans="1:4" ht="18" customHeight="1" x14ac:dyDescent="0.3">
      <c r="A5" s="12" t="s">
        <v>5</v>
      </c>
      <c r="B5" s="12"/>
      <c r="C5" s="12"/>
      <c r="D5" s="12"/>
    </row>
    <row r="6" spans="1:4" ht="22.5" customHeight="1" x14ac:dyDescent="0.3">
      <c r="A6" s="16" t="s">
        <v>6</v>
      </c>
      <c r="B6" s="17">
        <v>1150</v>
      </c>
      <c r="C6" s="18" t="s">
        <v>7</v>
      </c>
      <c r="D6" s="19" t="s">
        <v>8</v>
      </c>
    </row>
    <row r="7" spans="1:4" ht="42.75" customHeight="1" x14ac:dyDescent="0.3">
      <c r="A7" s="20" t="s">
        <v>9</v>
      </c>
      <c r="B7" s="21">
        <v>383</v>
      </c>
      <c r="C7" s="22" t="s">
        <v>10</v>
      </c>
      <c r="D7" s="19" t="s">
        <v>11</v>
      </c>
    </row>
    <row r="8" spans="1:4" ht="14.25" customHeight="1" x14ac:dyDescent="0.3">
      <c r="A8" s="23" t="s">
        <v>12</v>
      </c>
      <c r="B8" s="24">
        <f>B6*B7/1000</f>
        <v>440.45</v>
      </c>
      <c r="C8" s="18" t="s">
        <v>13</v>
      </c>
      <c r="D8" s="19" t="s">
        <v>14</v>
      </c>
    </row>
    <row r="9" spans="1:4" ht="32.25" customHeight="1" x14ac:dyDescent="0.3">
      <c r="A9" s="20" t="s">
        <v>15</v>
      </c>
      <c r="B9" s="25">
        <v>1313</v>
      </c>
      <c r="C9" s="22" t="s">
        <v>7</v>
      </c>
      <c r="D9" s="19" t="s">
        <v>322</v>
      </c>
    </row>
    <row r="10" spans="1:4" ht="21.75" customHeight="1" x14ac:dyDescent="0.3">
      <c r="A10" s="23" t="s">
        <v>16</v>
      </c>
      <c r="B10" s="25">
        <v>542</v>
      </c>
      <c r="C10" s="18" t="s">
        <v>7</v>
      </c>
      <c r="D10" s="19" t="s">
        <v>17</v>
      </c>
    </row>
    <row r="11" spans="1:4" ht="32.25" customHeight="1" x14ac:dyDescent="0.3">
      <c r="A11" s="20" t="s">
        <v>18</v>
      </c>
      <c r="B11" s="25">
        <v>429000</v>
      </c>
      <c r="C11" s="22" t="s">
        <v>19</v>
      </c>
      <c r="D11" s="19" t="s">
        <v>20</v>
      </c>
    </row>
    <row r="12" spans="1:4" ht="18" customHeight="1" x14ac:dyDescent="0.3">
      <c r="A12" s="11" t="s">
        <v>21</v>
      </c>
      <c r="B12" s="11"/>
      <c r="C12" s="11"/>
      <c r="D12" s="11"/>
    </row>
    <row r="13" spans="1:4" ht="14.25" customHeight="1" x14ac:dyDescent="0.3">
      <c r="A13" s="26" t="s">
        <v>22</v>
      </c>
      <c r="B13" s="25">
        <v>18611</v>
      </c>
      <c r="C13" s="27" t="s">
        <v>23</v>
      </c>
      <c r="D13" s="19" t="s">
        <v>24</v>
      </c>
    </row>
    <row r="14" spans="1:4" ht="14.25" customHeight="1" x14ac:dyDescent="0.3">
      <c r="A14" s="26" t="s">
        <v>25</v>
      </c>
      <c r="B14" s="25">
        <v>21173</v>
      </c>
      <c r="C14" s="27" t="s">
        <v>26</v>
      </c>
      <c r="D14" s="19" t="s">
        <v>27</v>
      </c>
    </row>
    <row r="15" spans="1:4" ht="14.25" customHeight="1" x14ac:dyDescent="0.3">
      <c r="A15" s="26" t="s">
        <v>28</v>
      </c>
      <c r="B15" s="25">
        <v>27559</v>
      </c>
      <c r="C15" s="27" t="s">
        <v>26</v>
      </c>
      <c r="D15" s="19" t="s">
        <v>29</v>
      </c>
    </row>
    <row r="16" spans="1:4" ht="14.25" customHeight="1" x14ac:dyDescent="0.3">
      <c r="A16" s="26" t="s">
        <v>30</v>
      </c>
      <c r="B16" s="25">
        <v>28261</v>
      </c>
      <c r="C16" s="27" t="s">
        <v>26</v>
      </c>
      <c r="D16" s="19" t="s">
        <v>31</v>
      </c>
    </row>
    <row r="17" spans="1:4" ht="22.5" customHeight="1" x14ac:dyDescent="0.3">
      <c r="A17" s="28" t="s">
        <v>32</v>
      </c>
      <c r="B17" s="29">
        <v>32667</v>
      </c>
      <c r="C17" s="27" t="s">
        <v>26</v>
      </c>
      <c r="D17" s="19" t="s">
        <v>33</v>
      </c>
    </row>
    <row r="18" spans="1:4" ht="18" customHeight="1" x14ac:dyDescent="0.3">
      <c r="A18" s="11" t="s">
        <v>34</v>
      </c>
      <c r="B18" s="11"/>
      <c r="C18" s="11"/>
      <c r="D18" s="11"/>
    </row>
    <row r="19" spans="1:4" ht="22.5" customHeight="1" x14ac:dyDescent="0.3">
      <c r="A19" s="30" t="s">
        <v>35</v>
      </c>
      <c r="B19" s="31">
        <v>0.12</v>
      </c>
      <c r="C19" s="32" t="s">
        <v>36</v>
      </c>
      <c r="D19" s="19" t="s">
        <v>37</v>
      </c>
    </row>
    <row r="20" spans="1:4" ht="22.5" customHeight="1" x14ac:dyDescent="0.3">
      <c r="A20" s="30" t="s">
        <v>38</v>
      </c>
      <c r="B20" s="31">
        <v>0.1</v>
      </c>
      <c r="C20" s="32" t="s">
        <v>36</v>
      </c>
      <c r="D20" s="19" t="s">
        <v>39</v>
      </c>
    </row>
    <row r="21" spans="1:4" ht="22.5" customHeight="1" x14ac:dyDescent="0.3">
      <c r="A21" s="30" t="s">
        <v>40</v>
      </c>
      <c r="B21" s="31">
        <v>0.08</v>
      </c>
      <c r="C21" s="32" t="s">
        <v>36</v>
      </c>
      <c r="D21" s="19" t="s">
        <v>41</v>
      </c>
    </row>
    <row r="22" spans="1:4" ht="22.5" customHeight="1" x14ac:dyDescent="0.3">
      <c r="A22" s="30" t="s">
        <v>42</v>
      </c>
      <c r="B22" s="31">
        <v>0.06</v>
      </c>
      <c r="C22" s="32" t="s">
        <v>36</v>
      </c>
      <c r="D22" s="19" t="s">
        <v>43</v>
      </c>
    </row>
    <row r="23" spans="1:4" ht="22.5" customHeight="1" x14ac:dyDescent="0.3">
      <c r="A23" s="30" t="s">
        <v>44</v>
      </c>
      <c r="B23" s="31">
        <v>0.05</v>
      </c>
      <c r="C23" s="32" t="s">
        <v>36</v>
      </c>
      <c r="D23" s="19" t="s">
        <v>45</v>
      </c>
    </row>
    <row r="24" spans="1:4" ht="18" customHeight="1" x14ac:dyDescent="0.3">
      <c r="A24" s="11" t="s">
        <v>46</v>
      </c>
      <c r="B24" s="11"/>
      <c r="C24" s="11"/>
      <c r="D24" s="11"/>
    </row>
    <row r="25" spans="1:4" ht="22.5" customHeight="1" x14ac:dyDescent="0.3">
      <c r="A25" s="30" t="s">
        <v>47</v>
      </c>
      <c r="B25" s="31">
        <v>0.33</v>
      </c>
      <c r="C25" s="32" t="s">
        <v>36</v>
      </c>
      <c r="D25" s="19" t="s">
        <v>48</v>
      </c>
    </row>
    <row r="26" spans="1:4" ht="22.5" customHeight="1" x14ac:dyDescent="0.3">
      <c r="A26" s="30" t="s">
        <v>49</v>
      </c>
      <c r="B26" s="31">
        <v>0.33</v>
      </c>
      <c r="C26" s="32" t="s">
        <v>36</v>
      </c>
      <c r="D26" s="19" t="s">
        <v>50</v>
      </c>
    </row>
    <row r="27" spans="1:4" ht="22.5" customHeight="1" x14ac:dyDescent="0.3">
      <c r="A27" s="30" t="s">
        <v>51</v>
      </c>
      <c r="B27" s="31">
        <v>0.34</v>
      </c>
      <c r="C27" s="32" t="s">
        <v>36</v>
      </c>
      <c r="D27" s="19" t="s">
        <v>52</v>
      </c>
    </row>
    <row r="28" spans="1:4" ht="22.5" customHeight="1" x14ac:dyDescent="0.3">
      <c r="A28" s="30" t="s">
        <v>53</v>
      </c>
      <c r="B28" s="31">
        <v>0.34</v>
      </c>
      <c r="C28" s="32" t="s">
        <v>36</v>
      </c>
      <c r="D28" s="19" t="s">
        <v>54</v>
      </c>
    </row>
    <row r="29" spans="1:4" ht="14.25" customHeight="1" x14ac:dyDescent="0.3">
      <c r="A29" s="30" t="s">
        <v>55</v>
      </c>
      <c r="B29" s="31">
        <v>0.35</v>
      </c>
      <c r="C29" s="32" t="s">
        <v>36</v>
      </c>
      <c r="D29" s="19" t="s">
        <v>56</v>
      </c>
    </row>
    <row r="30" spans="1:4" ht="22.5" customHeight="1" x14ac:dyDescent="0.3">
      <c r="A30" s="30" t="s">
        <v>57</v>
      </c>
      <c r="B30" s="31">
        <v>0.14499999999999999</v>
      </c>
      <c r="C30" s="32" t="s">
        <v>36</v>
      </c>
      <c r="D30" s="19" t="s">
        <v>58</v>
      </c>
    </row>
    <row r="31" spans="1:4" ht="22.5" customHeight="1" x14ac:dyDescent="0.3">
      <c r="A31" s="30" t="s">
        <v>59</v>
      </c>
      <c r="B31" s="31">
        <v>0.03</v>
      </c>
      <c r="C31" s="32" t="s">
        <v>36</v>
      </c>
      <c r="D31" s="19" t="s">
        <v>60</v>
      </c>
    </row>
    <row r="32" spans="1:4" ht="22.5" customHeight="1" x14ac:dyDescent="0.3">
      <c r="A32" s="30" t="s">
        <v>61</v>
      </c>
      <c r="B32" s="31">
        <v>0.05</v>
      </c>
      <c r="C32" s="32" t="s">
        <v>36</v>
      </c>
      <c r="D32" s="19" t="s">
        <v>62</v>
      </c>
    </row>
    <row r="33" spans="1:4" ht="22.5" customHeight="1" x14ac:dyDescent="0.3">
      <c r="A33" s="30" t="s">
        <v>63</v>
      </c>
      <c r="B33" s="31">
        <v>5.0000000000000001E-3</v>
      </c>
      <c r="C33" s="32" t="s">
        <v>36</v>
      </c>
      <c r="D33" s="19" t="s">
        <v>64</v>
      </c>
    </row>
    <row r="34" spans="1:4" ht="18" customHeight="1" x14ac:dyDescent="0.3">
      <c r="A34" s="11" t="s">
        <v>65</v>
      </c>
      <c r="B34" s="11"/>
      <c r="C34" s="11"/>
      <c r="D34" s="11"/>
    </row>
    <row r="35" spans="1:4" ht="22.5" customHeight="1" x14ac:dyDescent="0.3">
      <c r="A35" s="30" t="s">
        <v>66</v>
      </c>
      <c r="B35" s="31">
        <v>0.09</v>
      </c>
      <c r="C35" s="32" t="s">
        <v>36</v>
      </c>
      <c r="D35" s="19" t="s">
        <v>67</v>
      </c>
    </row>
    <row r="36" spans="1:4" ht="22.5" customHeight="1" x14ac:dyDescent="0.3">
      <c r="A36" s="30" t="s">
        <v>68</v>
      </c>
      <c r="B36" s="31">
        <v>0.03</v>
      </c>
      <c r="C36" s="32" t="s">
        <v>36</v>
      </c>
      <c r="D36" s="19" t="s">
        <v>69</v>
      </c>
    </row>
    <row r="37" spans="1:4" ht="22.5" customHeight="1" x14ac:dyDescent="0.3">
      <c r="A37" s="26" t="s">
        <v>307</v>
      </c>
      <c r="B37" s="25">
        <v>-11000</v>
      </c>
      <c r="C37" s="27" t="s">
        <v>70</v>
      </c>
      <c r="D37" s="19" t="s">
        <v>71</v>
      </c>
    </row>
    <row r="38" spans="1:4" ht="22.5" customHeight="1" x14ac:dyDescent="0.3">
      <c r="A38" s="26" t="s">
        <v>72</v>
      </c>
      <c r="B38" s="33">
        <f>('3. DCF VALUATION'!B35+'4. COMP VALUATION'!H21)/2</f>
        <v>577.68136753846534</v>
      </c>
      <c r="C38" s="27" t="s">
        <v>73</v>
      </c>
      <c r="D38" s="19" t="s">
        <v>74</v>
      </c>
    </row>
    <row r="39" spans="1:4" ht="7.5" customHeight="1" x14ac:dyDescent="0.3"/>
    <row r="40" spans="1:4" ht="18" customHeight="1" x14ac:dyDescent="0.3">
      <c r="A40" s="10" t="s">
        <v>75</v>
      </c>
      <c r="B40" s="10"/>
      <c r="C40" s="10"/>
      <c r="D40" s="10"/>
    </row>
    <row r="41" spans="1:4" ht="14.25" customHeight="1" x14ac:dyDescent="0.3">
      <c r="A41" s="34" t="s">
        <v>76</v>
      </c>
      <c r="B41" s="9" t="s">
        <v>77</v>
      </c>
      <c r="C41" s="9"/>
      <c r="D41" s="9"/>
    </row>
    <row r="42" spans="1:4" ht="14.25" customHeight="1" x14ac:dyDescent="0.3">
      <c r="A42" s="35" t="s">
        <v>76</v>
      </c>
      <c r="B42" s="9" t="s">
        <v>78</v>
      </c>
      <c r="C42" s="9"/>
      <c r="D42" s="9"/>
    </row>
    <row r="43" spans="1:4" ht="14.25" customHeight="1" x14ac:dyDescent="0.3">
      <c r="A43" s="36" t="s">
        <v>76</v>
      </c>
      <c r="B43" s="9" t="s">
        <v>79</v>
      </c>
      <c r="C43" s="9"/>
      <c r="D43" s="9"/>
    </row>
    <row r="44" spans="1:4" ht="14.25" customHeight="1" x14ac:dyDescent="0.3">
      <c r="A44" s="37" t="s">
        <v>76</v>
      </c>
      <c r="B44" s="9" t="s">
        <v>80</v>
      </c>
      <c r="C44" s="9"/>
      <c r="D44" s="9"/>
    </row>
    <row r="45" spans="1:4" ht="14.25" customHeight="1" x14ac:dyDescent="0.3">
      <c r="A45" s="38" t="s">
        <v>76</v>
      </c>
      <c r="B45" s="9" t="s">
        <v>81</v>
      </c>
      <c r="C45" s="9"/>
      <c r="D45" s="9"/>
    </row>
  </sheetData>
  <mergeCells count="13">
    <mergeCell ref="B43:D43"/>
    <mergeCell ref="B44:D44"/>
    <mergeCell ref="B45:D45"/>
    <mergeCell ref="A24:D24"/>
    <mergeCell ref="A34:D34"/>
    <mergeCell ref="A40:D40"/>
    <mergeCell ref="B41:D41"/>
    <mergeCell ref="B42:D42"/>
    <mergeCell ref="A1:D1"/>
    <mergeCell ref="A2:D2"/>
    <mergeCell ref="A5:D5"/>
    <mergeCell ref="A12:D12"/>
    <mergeCell ref="A18:D1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4A7A"/>
  </sheetPr>
  <dimension ref="A1:F3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2" sqref="E12"/>
    </sheetView>
  </sheetViews>
  <sheetFormatPr defaultColWidth="8.6640625" defaultRowHeight="14.4" x14ac:dyDescent="0.3"/>
  <cols>
    <col min="1" max="1" width="32" customWidth="1"/>
    <col min="2" max="6" width="15" customWidth="1"/>
    <col min="7" max="7" width="10" customWidth="1"/>
  </cols>
  <sheetData>
    <row r="1" spans="1:6" ht="27.75" customHeight="1" x14ac:dyDescent="0.3">
      <c r="A1" s="8" t="s">
        <v>82</v>
      </c>
      <c r="B1" s="8"/>
      <c r="C1" s="8"/>
      <c r="D1" s="8"/>
      <c r="E1" s="8"/>
      <c r="F1" s="8"/>
    </row>
    <row r="2" spans="1:6" ht="15.75" customHeight="1" x14ac:dyDescent="0.3">
      <c r="A2" s="7" t="s">
        <v>83</v>
      </c>
      <c r="B2" s="7"/>
      <c r="C2" s="7"/>
      <c r="D2" s="7"/>
      <c r="E2" s="7"/>
      <c r="F2" s="7"/>
    </row>
    <row r="3" spans="1:6" ht="7.5" customHeight="1" x14ac:dyDescent="0.3"/>
    <row r="4" spans="1:6" ht="19.5" customHeight="1" x14ac:dyDescent="0.3">
      <c r="A4" s="39" t="s">
        <v>84</v>
      </c>
      <c r="B4" s="15" t="s">
        <v>85</v>
      </c>
      <c r="C4" s="15" t="s">
        <v>86</v>
      </c>
      <c r="D4" s="15" t="s">
        <v>87</v>
      </c>
      <c r="E4" s="15" t="s">
        <v>88</v>
      </c>
      <c r="F4" s="15" t="s">
        <v>89</v>
      </c>
    </row>
    <row r="5" spans="1:6" ht="14.25" customHeight="1" x14ac:dyDescent="0.3">
      <c r="A5" s="11" t="s">
        <v>90</v>
      </c>
      <c r="B5" s="11"/>
      <c r="C5" s="11"/>
      <c r="D5" s="11"/>
      <c r="E5" s="11"/>
      <c r="F5" s="11"/>
    </row>
    <row r="6" spans="1:6" ht="14.25" customHeight="1" x14ac:dyDescent="0.3">
      <c r="A6" s="40" t="s">
        <v>91</v>
      </c>
      <c r="B6" s="29">
        <v>18611</v>
      </c>
      <c r="C6" s="29">
        <v>21173</v>
      </c>
      <c r="D6" s="29">
        <v>27559</v>
      </c>
      <c r="E6" s="29">
        <v>28261</v>
      </c>
      <c r="F6" s="29">
        <v>32667</v>
      </c>
    </row>
    <row r="7" spans="1:6" ht="14.25" customHeight="1" x14ac:dyDescent="0.3">
      <c r="A7" s="20" t="s">
        <v>92</v>
      </c>
      <c r="B7" s="41" t="s">
        <v>93</v>
      </c>
      <c r="C7" s="42">
        <f>(C6-B6)/B6</f>
        <v>0.13766052334640805</v>
      </c>
      <c r="D7" s="42">
        <f>(D6-C6)/C6</f>
        <v>0.30161054172767204</v>
      </c>
      <c r="E7" s="42">
        <f>(E6-D6)/D6</f>
        <v>2.5472622373816176E-2</v>
      </c>
      <c r="F7" s="43">
        <f>(F6-E6)/E6</f>
        <v>0.1559038958281731</v>
      </c>
    </row>
    <row r="8" spans="1:6" ht="14.25" customHeight="1" x14ac:dyDescent="0.3">
      <c r="A8" s="26" t="s">
        <v>94</v>
      </c>
      <c r="B8" s="29">
        <v>9813</v>
      </c>
      <c r="C8" s="29">
        <v>10558</v>
      </c>
      <c r="D8" s="29">
        <v>14128</v>
      </c>
      <c r="E8" s="29">
        <v>14426</v>
      </c>
      <c r="F8" s="29">
        <v>17258</v>
      </c>
    </row>
    <row r="9" spans="1:6" ht="14.25" customHeight="1" x14ac:dyDescent="0.3">
      <c r="A9" s="20" t="s">
        <v>95</v>
      </c>
      <c r="B9" s="42">
        <f>B8/B6</f>
        <v>0.52726881951534044</v>
      </c>
      <c r="C9" s="42">
        <f>C8/C6</f>
        <v>0.49865394606338259</v>
      </c>
      <c r="D9" s="42">
        <f>D8/D6</f>
        <v>0.51264559671976484</v>
      </c>
      <c r="E9" s="42">
        <f>E8/E6</f>
        <v>0.510456105587205</v>
      </c>
      <c r="F9" s="44">
        <f>F8/F6</f>
        <v>0.52830073162518754</v>
      </c>
    </row>
    <row r="10" spans="1:6" ht="14.25" customHeight="1" x14ac:dyDescent="0.3">
      <c r="A10" s="26" t="s">
        <v>96</v>
      </c>
      <c r="B10" s="29">
        <v>5731</v>
      </c>
      <c r="C10" s="29">
        <v>5952</v>
      </c>
      <c r="D10" s="29">
        <v>9015</v>
      </c>
      <c r="E10" s="29">
        <v>9023</v>
      </c>
      <c r="F10" s="29">
        <v>11301</v>
      </c>
    </row>
    <row r="11" spans="1:6" ht="14.25" customHeight="1" x14ac:dyDescent="0.3">
      <c r="A11" s="20" t="s">
        <v>97</v>
      </c>
      <c r="B11" s="42">
        <f>B10/B6</f>
        <v>0.30793616678308527</v>
      </c>
      <c r="C11" s="42">
        <f>C10/C6</f>
        <v>0.28111273792093705</v>
      </c>
      <c r="D11" s="42">
        <f>D10/D6</f>
        <v>0.32711636851845133</v>
      </c>
      <c r="E11" s="42">
        <f>E10/E6</f>
        <v>0.31927391104348751</v>
      </c>
      <c r="F11" s="44">
        <f>F10/F6</f>
        <v>0.34594544953622924</v>
      </c>
    </row>
    <row r="12" spans="1:6" ht="14.25" customHeight="1" x14ac:dyDescent="0.3">
      <c r="A12" s="26" t="s">
        <v>98</v>
      </c>
      <c r="B12" s="29">
        <v>5882</v>
      </c>
      <c r="C12" s="29">
        <v>5624</v>
      </c>
      <c r="D12" s="29">
        <v>7837</v>
      </c>
      <c r="E12" s="29">
        <v>7572</v>
      </c>
      <c r="F12" s="29">
        <v>9609</v>
      </c>
    </row>
    <row r="13" spans="1:6" ht="14.25" customHeight="1" x14ac:dyDescent="0.3">
      <c r="A13" s="20" t="s">
        <v>99</v>
      </c>
      <c r="B13" s="42">
        <f>B12/B6</f>
        <v>0.31604964805760033</v>
      </c>
      <c r="C13" s="42">
        <f>C12/C6</f>
        <v>0.26562131015916496</v>
      </c>
      <c r="D13" s="42">
        <f>D12/D6</f>
        <v>0.28437171160056607</v>
      </c>
      <c r="E13" s="42">
        <f>E12/E6</f>
        <v>0.26793107108736419</v>
      </c>
      <c r="F13" s="44">
        <f>F12/F6</f>
        <v>0.29415005969326846</v>
      </c>
    </row>
    <row r="14" spans="1:6" ht="14.25" customHeight="1" x14ac:dyDescent="0.3">
      <c r="A14" s="23" t="s">
        <v>100</v>
      </c>
      <c r="B14" s="45">
        <v>13.49</v>
      </c>
      <c r="C14" s="45">
        <v>13.61</v>
      </c>
      <c r="D14" s="45">
        <v>21</v>
      </c>
      <c r="E14" s="45">
        <v>19.239999999999998</v>
      </c>
      <c r="F14" s="45">
        <v>24.71</v>
      </c>
    </row>
    <row r="15" spans="1:6" ht="7.5" customHeight="1" x14ac:dyDescent="0.3"/>
    <row r="16" spans="1:6" ht="14.25" customHeight="1" x14ac:dyDescent="0.3">
      <c r="A16" s="11" t="s">
        <v>101</v>
      </c>
      <c r="B16" s="11"/>
      <c r="C16" s="11"/>
      <c r="D16" s="11"/>
      <c r="E16" s="11"/>
      <c r="F16" s="11"/>
    </row>
    <row r="17" spans="1:6" ht="14.25" customHeight="1" x14ac:dyDescent="0.3">
      <c r="A17" s="26" t="s">
        <v>102</v>
      </c>
      <c r="B17" s="29">
        <v>356</v>
      </c>
      <c r="C17" s="29">
        <v>400</v>
      </c>
      <c r="D17" s="29">
        <v>498</v>
      </c>
      <c r="E17" s="29">
        <v>919</v>
      </c>
      <c r="F17" s="29">
        <v>1026</v>
      </c>
    </row>
    <row r="18" spans="1:6" ht="14.25" customHeight="1" x14ac:dyDescent="0.3">
      <c r="A18" s="26" t="s">
        <v>103</v>
      </c>
      <c r="B18" s="29">
        <v>740</v>
      </c>
      <c r="C18" s="29">
        <v>893</v>
      </c>
      <c r="D18" s="29">
        <v>1166</v>
      </c>
      <c r="E18" s="29">
        <v>2083</v>
      </c>
      <c r="F18" s="29">
        <v>1631</v>
      </c>
    </row>
    <row r="19" spans="1:6" ht="14.25" customHeight="1" x14ac:dyDescent="0.3">
      <c r="A19" s="26" t="s">
        <v>104</v>
      </c>
      <c r="B19" s="29">
        <v>4500</v>
      </c>
      <c r="C19" s="29">
        <v>5200</v>
      </c>
      <c r="D19" s="29">
        <v>6900</v>
      </c>
      <c r="E19" s="29">
        <v>9083</v>
      </c>
      <c r="F19" s="29">
        <v>11028</v>
      </c>
    </row>
    <row r="20" spans="1:6" ht="14.25" customHeight="1" x14ac:dyDescent="0.3">
      <c r="A20" s="20" t="s">
        <v>105</v>
      </c>
      <c r="B20" s="42">
        <f>B19/B6</f>
        <v>0.24179248831336306</v>
      </c>
      <c r="C20" s="42">
        <f>C19/C6</f>
        <v>0.24559580597931327</v>
      </c>
      <c r="D20" s="42">
        <f>D19/D6</f>
        <v>0.25037192931528718</v>
      </c>
      <c r="E20" s="42">
        <f>E19/E6</f>
        <v>0.32139697816779306</v>
      </c>
      <c r="F20" s="42">
        <f>F19/F6</f>
        <v>0.33758839195518414</v>
      </c>
    </row>
    <row r="21" spans="1:6" ht="14.25" customHeight="1" x14ac:dyDescent="0.3">
      <c r="A21" s="20" t="s">
        <v>106</v>
      </c>
      <c r="B21" s="42">
        <f>B19/B12</f>
        <v>0.76504590275416529</v>
      </c>
      <c r="C21" s="42">
        <f>C19/C12</f>
        <v>0.92460881934566141</v>
      </c>
      <c r="D21" s="42">
        <f>D19/D12</f>
        <v>0.88043894347326779</v>
      </c>
      <c r="E21" s="42">
        <f>E19/E12</f>
        <v>1.1995509772847333</v>
      </c>
      <c r="F21" s="42">
        <f>F19/F12</f>
        <v>1.1476740555729004</v>
      </c>
    </row>
    <row r="22" spans="1:6" ht="14.25" customHeight="1" x14ac:dyDescent="0.3">
      <c r="A22" s="26" t="s">
        <v>107</v>
      </c>
      <c r="B22" s="29">
        <v>26000</v>
      </c>
      <c r="C22" s="29">
        <v>40400</v>
      </c>
      <c r="D22" s="29">
        <v>39400</v>
      </c>
      <c r="E22" s="29">
        <v>18900</v>
      </c>
      <c r="F22" s="29">
        <v>27200</v>
      </c>
    </row>
    <row r="23" spans="1:6" ht="14.25" customHeight="1" x14ac:dyDescent="0.3">
      <c r="A23" s="26" t="s">
        <v>108</v>
      </c>
      <c r="B23" s="29">
        <v>33000</v>
      </c>
      <c r="C23" s="29">
        <v>40400</v>
      </c>
      <c r="D23" s="29">
        <v>39400</v>
      </c>
      <c r="E23" s="29">
        <v>36000</v>
      </c>
      <c r="F23" s="29">
        <v>38800</v>
      </c>
    </row>
    <row r="24" spans="1:6" ht="7.5" customHeight="1" x14ac:dyDescent="0.3"/>
    <row r="25" spans="1:6" ht="14.25" customHeight="1" x14ac:dyDescent="0.3">
      <c r="A25" s="11" t="s">
        <v>109</v>
      </c>
      <c r="B25" s="11"/>
      <c r="C25" s="11"/>
      <c r="D25" s="11"/>
      <c r="E25" s="11"/>
      <c r="F25" s="11"/>
    </row>
    <row r="26" spans="1:6" ht="32.25" customHeight="1" x14ac:dyDescent="0.3">
      <c r="A26" s="6" t="s">
        <v>110</v>
      </c>
      <c r="B26" s="6"/>
      <c r="C26" s="6"/>
      <c r="D26" s="6"/>
      <c r="E26" s="6"/>
      <c r="F26" s="6"/>
    </row>
    <row r="27" spans="1:6" ht="14.25" customHeight="1" x14ac:dyDescent="0.3">
      <c r="A27" s="20" t="s">
        <v>111</v>
      </c>
      <c r="B27" s="46" t="s">
        <v>112</v>
      </c>
      <c r="C27" s="46" t="s">
        <v>113</v>
      </c>
      <c r="D27" s="46">
        <v>28.6</v>
      </c>
      <c r="E27" s="46" t="s">
        <v>114</v>
      </c>
      <c r="F27" s="46" t="s">
        <v>115</v>
      </c>
    </row>
    <row r="28" spans="1:6" ht="14.25" customHeight="1" x14ac:dyDescent="0.3">
      <c r="A28" s="20" t="s">
        <v>116</v>
      </c>
      <c r="B28" s="46">
        <v>45.9</v>
      </c>
      <c r="C28" s="46">
        <v>44.1</v>
      </c>
      <c r="D28" s="46">
        <v>29.1</v>
      </c>
      <c r="E28" s="46">
        <v>31</v>
      </c>
      <c r="F28" s="46">
        <v>25</v>
      </c>
    </row>
    <row r="29" spans="1:6" ht="7.5" customHeight="1" x14ac:dyDescent="0.3">
      <c r="A29" s="5"/>
      <c r="B29" s="5"/>
      <c r="C29" s="5"/>
      <c r="D29" s="5"/>
      <c r="E29" s="5"/>
      <c r="F29" s="5"/>
    </row>
    <row r="30" spans="1:6" ht="32.25" customHeight="1" x14ac:dyDescent="0.3">
      <c r="A30" s="5"/>
      <c r="B30" s="5"/>
      <c r="C30" s="5"/>
      <c r="D30" s="5"/>
      <c r="E30" s="5"/>
      <c r="F30" s="5"/>
    </row>
  </sheetData>
  <mergeCells count="7">
    <mergeCell ref="A26:F26"/>
    <mergeCell ref="A29:F30"/>
    <mergeCell ref="A1:F1"/>
    <mergeCell ref="A2:F2"/>
    <mergeCell ref="A5:F5"/>
    <mergeCell ref="A16:F16"/>
    <mergeCell ref="A25:F2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7A4A"/>
  </sheetPr>
  <dimension ref="A1:G39"/>
  <sheetViews>
    <sheetView zoomScaleNormal="100" workbookViewId="0">
      <pane xSplit="1" ySplit="4" topLeftCell="B5" activePane="bottomRight" state="frozen"/>
      <selection pane="topRight" activeCell="D1" sqref="D1"/>
      <selection pane="bottomLeft" activeCell="A12" sqref="A12"/>
      <selection pane="bottomRight" activeCell="E13" sqref="E13"/>
    </sheetView>
  </sheetViews>
  <sheetFormatPr defaultColWidth="8.6640625" defaultRowHeight="14.4" x14ac:dyDescent="0.3"/>
  <cols>
    <col min="1" max="1" width="58.44140625" customWidth="1"/>
    <col min="2" max="7" width="14" customWidth="1"/>
    <col min="8" max="8" width="36" customWidth="1"/>
  </cols>
  <sheetData>
    <row r="1" spans="1:7" ht="27.75" customHeight="1" x14ac:dyDescent="0.3">
      <c r="A1" s="8" t="s">
        <v>117</v>
      </c>
      <c r="B1" s="8"/>
      <c r="C1" s="8"/>
      <c r="D1" s="8"/>
      <c r="E1" s="8"/>
      <c r="F1" s="8"/>
      <c r="G1" s="8"/>
    </row>
    <row r="2" spans="1:7" ht="15.75" customHeight="1" x14ac:dyDescent="0.3">
      <c r="A2" s="7" t="s">
        <v>118</v>
      </c>
      <c r="B2" s="7"/>
      <c r="C2" s="7"/>
      <c r="D2" s="7"/>
      <c r="E2" s="7"/>
      <c r="F2" s="7"/>
      <c r="G2" s="7"/>
    </row>
    <row r="3" spans="1:7" ht="7.5" customHeight="1" x14ac:dyDescent="0.3"/>
    <row r="4" spans="1:7" ht="19.5" customHeight="1" x14ac:dyDescent="0.3">
      <c r="A4" s="39" t="s">
        <v>119</v>
      </c>
      <c r="B4" s="15" t="s">
        <v>120</v>
      </c>
      <c r="C4" s="47" t="s">
        <v>121</v>
      </c>
      <c r="D4" s="47" t="s">
        <v>122</v>
      </c>
      <c r="E4" s="47" t="s">
        <v>123</v>
      </c>
      <c r="F4" s="47" t="s">
        <v>124</v>
      </c>
      <c r="G4" s="47" t="s">
        <v>125</v>
      </c>
    </row>
    <row r="5" spans="1:7" ht="14.25" customHeight="1" x14ac:dyDescent="0.3">
      <c r="A5" s="11" t="s">
        <v>126</v>
      </c>
      <c r="B5" s="11"/>
      <c r="C5" s="11"/>
      <c r="D5" s="11"/>
      <c r="E5" s="11"/>
      <c r="F5" s="11"/>
      <c r="G5" s="11"/>
    </row>
    <row r="6" spans="1:7" ht="14.25" customHeight="1" x14ac:dyDescent="0.3">
      <c r="A6" s="48" t="s">
        <v>127</v>
      </c>
      <c r="B6" s="49">
        <f>'1. INPUTS'!B17</f>
        <v>32667</v>
      </c>
      <c r="C6" s="50">
        <f>B6*(1+'1. INPUTS'!B19)</f>
        <v>36587.040000000001</v>
      </c>
      <c r="D6" s="50">
        <f>C6*(1+'1. INPUTS'!B20)</f>
        <v>40245.744000000006</v>
      </c>
      <c r="E6" s="50">
        <f>D6*(1+'1. INPUTS'!B21)</f>
        <v>43465.403520000007</v>
      </c>
      <c r="F6" s="50">
        <f>E6*(1+'1. INPUTS'!B22)</f>
        <v>46073.327731200006</v>
      </c>
      <c r="G6" s="50">
        <f>F6*(1+'1. INPUTS'!B23)</f>
        <v>48376.994117760012</v>
      </c>
    </row>
    <row r="7" spans="1:7" ht="14.25" customHeight="1" x14ac:dyDescent="0.3">
      <c r="A7" s="20" t="s">
        <v>128</v>
      </c>
      <c r="B7" s="43">
        <f>'1. INPUTS'!B19</f>
        <v>0.12</v>
      </c>
      <c r="C7" s="51">
        <f>'1. INPUTS'!B20</f>
        <v>0.1</v>
      </c>
      <c r="D7" s="51">
        <f>'1. INPUTS'!B21</f>
        <v>0.08</v>
      </c>
      <c r="E7" s="51">
        <f>'1. INPUTS'!B22</f>
        <v>0.06</v>
      </c>
      <c r="F7" s="51">
        <f>'1. INPUTS'!B23</f>
        <v>0.05</v>
      </c>
    </row>
    <row r="8" spans="1:7" ht="7.5" customHeight="1" x14ac:dyDescent="0.3"/>
    <row r="9" spans="1:7" ht="14.25" customHeight="1" x14ac:dyDescent="0.3">
      <c r="A9" s="11" t="s">
        <v>129</v>
      </c>
      <c r="B9" s="11"/>
      <c r="C9" s="11"/>
      <c r="D9" s="11"/>
      <c r="E9" s="11"/>
      <c r="F9" s="11"/>
      <c r="G9" s="11"/>
    </row>
    <row r="10" spans="1:7" ht="14.25" customHeight="1" x14ac:dyDescent="0.3">
      <c r="A10" s="30" t="s">
        <v>130</v>
      </c>
      <c r="B10" s="43">
        <f>'2. HISTORICAL'!F11</f>
        <v>0.34594544953622924</v>
      </c>
      <c r="C10" s="52">
        <f>'1. INPUTS'!B25</f>
        <v>0.33</v>
      </c>
      <c r="D10" s="52">
        <f>'1. INPUTS'!B26</f>
        <v>0.33</v>
      </c>
      <c r="E10" s="52">
        <f>'1. INPUTS'!B27</f>
        <v>0.34</v>
      </c>
      <c r="F10" s="52">
        <f>'1. INPUTS'!B28</f>
        <v>0.34</v>
      </c>
      <c r="G10" s="52">
        <f>'1. INPUTS'!B29</f>
        <v>0.35</v>
      </c>
    </row>
    <row r="11" spans="1:7" ht="14.25" customHeight="1" x14ac:dyDescent="0.3">
      <c r="A11" s="53" t="s">
        <v>131</v>
      </c>
      <c r="B11" s="54">
        <f t="shared" ref="B11:G11" si="0">B6*B10</f>
        <v>11301</v>
      </c>
      <c r="C11" s="54">
        <f t="shared" si="0"/>
        <v>12073.7232</v>
      </c>
      <c r="D11" s="54">
        <f t="shared" si="0"/>
        <v>13281.095520000003</v>
      </c>
      <c r="E11" s="54">
        <f t="shared" si="0"/>
        <v>14778.237196800004</v>
      </c>
      <c r="F11" s="54">
        <f t="shared" si="0"/>
        <v>15664.931428608003</v>
      </c>
      <c r="G11" s="54">
        <f t="shared" si="0"/>
        <v>16931.947941216004</v>
      </c>
    </row>
    <row r="12" spans="1:7" ht="14.25" customHeight="1" x14ac:dyDescent="0.3">
      <c r="A12" s="20" t="s">
        <v>132</v>
      </c>
      <c r="B12" s="55">
        <f>B11*'1. INPUTS'!B30</f>
        <v>1638.645</v>
      </c>
      <c r="C12" s="55">
        <f>C11*'1. INPUTS'!B30</f>
        <v>1750.6898639999999</v>
      </c>
      <c r="D12" s="55">
        <f>D11*'1. INPUTS'!B30</f>
        <v>1925.7588504000003</v>
      </c>
      <c r="E12" s="55">
        <f>E11*'1. INPUTS'!B30</f>
        <v>2142.8443935360006</v>
      </c>
      <c r="F12" s="55">
        <f>F11*'1. INPUTS'!B30</f>
        <v>2271.41505714816</v>
      </c>
      <c r="G12" s="55">
        <f>G11*'1. INPUTS'!B30</f>
        <v>2455.1324514763205</v>
      </c>
    </row>
    <row r="13" spans="1:7" ht="14.25" customHeight="1" x14ac:dyDescent="0.3">
      <c r="A13" s="56" t="s">
        <v>133</v>
      </c>
      <c r="B13" s="57">
        <f t="shared" ref="B13:G13" si="1">B11-B12</f>
        <v>9662.3549999999996</v>
      </c>
      <c r="C13" s="57">
        <f t="shared" si="1"/>
        <v>10323.033336</v>
      </c>
      <c r="D13" s="57">
        <f t="shared" si="1"/>
        <v>11355.336669600003</v>
      </c>
      <c r="E13" s="57">
        <f t="shared" si="1"/>
        <v>12635.392803264003</v>
      </c>
      <c r="F13" s="57">
        <f t="shared" si="1"/>
        <v>13393.516371459842</v>
      </c>
      <c r="G13" s="57">
        <f t="shared" si="1"/>
        <v>14476.815489739683</v>
      </c>
    </row>
    <row r="14" spans="1:7" ht="3.75" customHeight="1" x14ac:dyDescent="0.3"/>
    <row r="15" spans="1:7" ht="14.25" customHeight="1" x14ac:dyDescent="0.3">
      <c r="A15" s="20" t="s">
        <v>134</v>
      </c>
      <c r="B15" s="55">
        <f>B6*'1. INPUTS'!B31</f>
        <v>980.01</v>
      </c>
      <c r="C15" s="55">
        <f>C6*'1. INPUTS'!B31</f>
        <v>1097.6112000000001</v>
      </c>
      <c r="D15" s="55">
        <f>D6*'1. INPUTS'!B31</f>
        <v>1207.3723200000002</v>
      </c>
      <c r="E15" s="55">
        <f>E6*'1. INPUTS'!B31</f>
        <v>1303.9621056000001</v>
      </c>
      <c r="F15" s="55">
        <f>F6*'1. INPUTS'!B31</f>
        <v>1382.1998319360002</v>
      </c>
      <c r="G15" s="55">
        <f>G6*'1. INPUTS'!B31</f>
        <v>1451.3098235328002</v>
      </c>
    </row>
    <row r="16" spans="1:7" ht="14.25" customHeight="1" x14ac:dyDescent="0.3">
      <c r="A16" s="20" t="s">
        <v>135</v>
      </c>
      <c r="B16" s="55">
        <f>B6*'1. INPUTS'!B32</f>
        <v>1633.3500000000001</v>
      </c>
      <c r="C16" s="55">
        <f>C6*'1. INPUTS'!B32</f>
        <v>1829.3520000000001</v>
      </c>
      <c r="D16" s="55">
        <f>D6*'1. INPUTS'!B32</f>
        <v>2012.2872000000004</v>
      </c>
      <c r="E16" s="55">
        <f>E6*'1. INPUTS'!B32</f>
        <v>2173.2701760000004</v>
      </c>
      <c r="F16" s="55">
        <f>F6*'1. INPUTS'!B32</f>
        <v>2303.6663865600003</v>
      </c>
      <c r="G16" s="55">
        <f>G6*'1. INPUTS'!B32</f>
        <v>2418.8497058880007</v>
      </c>
    </row>
    <row r="17" spans="1:7" ht="14.25" customHeight="1" x14ac:dyDescent="0.3">
      <c r="A17" s="20" t="s">
        <v>136</v>
      </c>
      <c r="B17" s="55">
        <f>B6*'1. INPUTS'!B33</f>
        <v>163.33500000000001</v>
      </c>
      <c r="C17" s="55">
        <f>C6*'1. INPUTS'!B33</f>
        <v>182.93520000000001</v>
      </c>
      <c r="D17" s="55">
        <f>D6*'1. INPUTS'!B33</f>
        <v>201.22872000000004</v>
      </c>
      <c r="E17" s="55">
        <f>E6*'1. INPUTS'!B33</f>
        <v>217.32701760000003</v>
      </c>
      <c r="F17" s="55">
        <f>F6*'1. INPUTS'!B33</f>
        <v>230.36663865600005</v>
      </c>
      <c r="G17" s="55">
        <f>G6*'1. INPUTS'!B33</f>
        <v>241.88497058880006</v>
      </c>
    </row>
    <row r="18" spans="1:7" ht="14.25" customHeight="1" x14ac:dyDescent="0.3">
      <c r="A18" s="56" t="s">
        <v>137</v>
      </c>
      <c r="B18" s="57">
        <f t="shared" ref="B18:G18" si="2">B13+B15-B16-B17</f>
        <v>8845.68</v>
      </c>
      <c r="C18" s="57">
        <f t="shared" si="2"/>
        <v>9408.3573359999991</v>
      </c>
      <c r="D18" s="57">
        <f t="shared" si="2"/>
        <v>10349.193069600004</v>
      </c>
      <c r="E18" s="57">
        <f t="shared" si="2"/>
        <v>11548.757715264002</v>
      </c>
      <c r="F18" s="57">
        <f t="shared" si="2"/>
        <v>12241.683178179843</v>
      </c>
      <c r="G18" s="57">
        <f t="shared" si="2"/>
        <v>13267.390636795682</v>
      </c>
    </row>
    <row r="19" spans="1:7" ht="14.25" customHeight="1" x14ac:dyDescent="0.3">
      <c r="A19" s="23" t="s">
        <v>138</v>
      </c>
      <c r="B19" s="58">
        <f t="shared" ref="B19:G19" si="3">B18/B6</f>
        <v>0.27078335935347597</v>
      </c>
      <c r="C19" s="58">
        <f t="shared" si="3"/>
        <v>0.25714999999999999</v>
      </c>
      <c r="D19" s="58">
        <f t="shared" si="3"/>
        <v>0.25715000000000005</v>
      </c>
      <c r="E19" s="58">
        <f t="shared" si="3"/>
        <v>0.26569999999999999</v>
      </c>
      <c r="F19" s="58">
        <f t="shared" si="3"/>
        <v>0.26570000000000005</v>
      </c>
      <c r="G19" s="58">
        <f t="shared" si="3"/>
        <v>0.27424999999999999</v>
      </c>
    </row>
    <row r="20" spans="1:7" ht="7.5" customHeight="1" x14ac:dyDescent="0.3"/>
    <row r="21" spans="1:7" ht="14.25" customHeight="1" x14ac:dyDescent="0.3">
      <c r="A21" s="11" t="s">
        <v>139</v>
      </c>
      <c r="B21" s="11"/>
      <c r="C21" s="11"/>
      <c r="D21" s="11"/>
      <c r="E21" s="11"/>
      <c r="F21" s="11"/>
      <c r="G21" s="11"/>
    </row>
    <row r="22" spans="1:7" ht="14.25" customHeight="1" x14ac:dyDescent="0.3">
      <c r="A22" s="23" t="s">
        <v>140</v>
      </c>
      <c r="B22" s="59">
        <v>0</v>
      </c>
      <c r="C22" s="59">
        <v>0.5</v>
      </c>
      <c r="D22" s="59">
        <v>1.5</v>
      </c>
      <c r="E22" s="59">
        <v>2.5</v>
      </c>
      <c r="F22" s="59">
        <v>3.5</v>
      </c>
      <c r="G22" s="59">
        <v>4.5</v>
      </c>
    </row>
    <row r="23" spans="1:7" ht="14.25" customHeight="1" x14ac:dyDescent="0.3">
      <c r="A23" s="53" t="s">
        <v>141</v>
      </c>
      <c r="B23" s="60">
        <f>1/(1+'1. INPUTS'!B35)^B22</f>
        <v>1</v>
      </c>
      <c r="C23" s="60">
        <f>1/(1+'1. INPUTS'!B35)^C22</f>
        <v>0.95782628522115132</v>
      </c>
      <c r="D23" s="60">
        <f>1/(1+'1. INPUTS'!B35)^D22</f>
        <v>0.8787397112120654</v>
      </c>
      <c r="E23" s="60">
        <f>1/(1+'1. INPUTS'!B35)^E22</f>
        <v>0.80618322129547271</v>
      </c>
      <c r="F23" s="60">
        <f>1/(1+'1. INPUTS'!B35)^F22</f>
        <v>0.73961763421603011</v>
      </c>
      <c r="G23" s="60">
        <f>1/(1+'1. INPUTS'!B35)^G22</f>
        <v>0.67854828827158709</v>
      </c>
    </row>
    <row r="24" spans="1:7" ht="14.25" customHeight="1" x14ac:dyDescent="0.3">
      <c r="A24" s="61" t="s">
        <v>142</v>
      </c>
      <c r="B24" s="18" t="s">
        <v>93</v>
      </c>
      <c r="C24" s="62">
        <f>C18*C23</f>
        <v>9011.5719571740465</v>
      </c>
      <c r="D24" s="62">
        <f>D18*D23</f>
        <v>9094.2469292582155</v>
      </c>
      <c r="E24" s="62">
        <f>E18*E23</f>
        <v>9310.4146968524765</v>
      </c>
      <c r="F24" s="62">
        <f>F18*F23</f>
        <v>9054.1647510675484</v>
      </c>
      <c r="G24" s="62">
        <f>G18*G23</f>
        <v>9002.5652064281912</v>
      </c>
    </row>
    <row r="25" spans="1:7" ht="13.5" customHeight="1" x14ac:dyDescent="0.3">
      <c r="A25" s="56" t="s">
        <v>143</v>
      </c>
      <c r="B25" s="4">
        <f>SUM(C24:G24)</f>
        <v>45472.963540780474</v>
      </c>
      <c r="C25" s="4"/>
      <c r="D25" s="4"/>
      <c r="E25" s="4"/>
      <c r="F25" s="4"/>
      <c r="G25" s="4"/>
    </row>
    <row r="26" spans="1:7" ht="18" hidden="1" customHeight="1" x14ac:dyDescent="0.3">
      <c r="A26" s="63"/>
    </row>
    <row r="27" spans="1:7" ht="14.25" customHeight="1" x14ac:dyDescent="0.3">
      <c r="A27" s="64" t="s">
        <v>144</v>
      </c>
      <c r="B27" s="3">
        <f>G18*(1+'1. INPUTS'!B36)/('1. INPUTS'!B35-'1. INPUTS'!B36)</f>
        <v>227756.87259832589</v>
      </c>
      <c r="C27" s="3"/>
      <c r="D27" s="3"/>
      <c r="E27" s="3"/>
      <c r="F27" s="3"/>
      <c r="G27" s="3"/>
    </row>
    <row r="28" spans="1:7" ht="14.25" customHeight="1" x14ac:dyDescent="0.3">
      <c r="A28" s="56" t="s">
        <v>145</v>
      </c>
      <c r="B28" s="4">
        <f>B27*G23</f>
        <v>154544.03604368397</v>
      </c>
      <c r="C28" s="4"/>
      <c r="D28" s="4"/>
      <c r="E28" s="4"/>
      <c r="F28" s="4"/>
      <c r="G28" s="4"/>
    </row>
    <row r="29" spans="1:7" ht="15" customHeight="1" x14ac:dyDescent="0.3"/>
    <row r="30" spans="1:7" ht="14.25" customHeight="1" x14ac:dyDescent="0.3">
      <c r="A30" s="11" t="s">
        <v>146</v>
      </c>
      <c r="B30" s="11"/>
      <c r="C30" s="11"/>
      <c r="D30" s="11"/>
      <c r="E30" s="11"/>
      <c r="F30" s="11"/>
      <c r="G30" s="11"/>
    </row>
    <row r="31" spans="1:7" ht="14.25" customHeight="1" x14ac:dyDescent="0.3">
      <c r="A31" s="56" t="s">
        <v>147</v>
      </c>
      <c r="B31" s="2">
        <f>B25+B28</f>
        <v>200016.99958446444</v>
      </c>
      <c r="C31" s="2"/>
      <c r="D31" s="2"/>
      <c r="E31" s="2"/>
      <c r="F31" s="2"/>
      <c r="G31" s="2"/>
    </row>
    <row r="32" spans="1:7" ht="14.25" customHeight="1" x14ac:dyDescent="0.3">
      <c r="A32" s="20" t="s">
        <v>148</v>
      </c>
      <c r="B32" s="1">
        <f>-'1. INPUTS'!B37</f>
        <v>11000</v>
      </c>
      <c r="C32" s="1"/>
      <c r="D32" s="1"/>
      <c r="E32" s="1"/>
      <c r="F32" s="1"/>
      <c r="G32" s="1"/>
    </row>
    <row r="33" spans="1:7" ht="14.25" customHeight="1" x14ac:dyDescent="0.3">
      <c r="A33" s="56" t="s">
        <v>149</v>
      </c>
      <c r="B33" s="2">
        <f>B31+B32</f>
        <v>211016.99958446444</v>
      </c>
      <c r="C33" s="2"/>
      <c r="D33" s="2"/>
      <c r="E33" s="2"/>
      <c r="F33" s="2"/>
      <c r="G33" s="2"/>
    </row>
    <row r="34" spans="1:7" ht="14.25" customHeight="1" x14ac:dyDescent="0.3">
      <c r="A34" s="20" t="s">
        <v>150</v>
      </c>
      <c r="B34" s="1">
        <f>'1. INPUTS'!B7</f>
        <v>383</v>
      </c>
      <c r="C34" s="1"/>
      <c r="D34" s="1"/>
      <c r="E34" s="1"/>
      <c r="F34" s="1"/>
      <c r="G34" s="1"/>
    </row>
    <row r="35" spans="1:7" ht="14.25" customHeight="1" x14ac:dyDescent="0.3">
      <c r="A35" s="56" t="s">
        <v>151</v>
      </c>
      <c r="B35" s="140">
        <f>B33/B34</f>
        <v>550.95822345813167</v>
      </c>
      <c r="C35" s="140"/>
      <c r="D35" s="140"/>
      <c r="E35" s="140"/>
      <c r="F35" s="140"/>
      <c r="G35" s="140"/>
    </row>
    <row r="36" spans="1:7" ht="14.25" customHeight="1" x14ac:dyDescent="0.3">
      <c r="A36" s="20" t="s">
        <v>152</v>
      </c>
      <c r="B36" s="141">
        <f>'1. INPUTS'!B6</f>
        <v>1150</v>
      </c>
      <c r="C36" s="141"/>
      <c r="D36" s="141"/>
      <c r="E36" s="141"/>
      <c r="F36" s="141"/>
      <c r="G36" s="141"/>
    </row>
    <row r="37" spans="1:7" ht="14.25" customHeight="1" x14ac:dyDescent="0.3">
      <c r="A37" s="56" t="s">
        <v>153</v>
      </c>
      <c r="B37" s="142">
        <f>(B35-B36)/B36</f>
        <v>-0.5209058926451029</v>
      </c>
      <c r="C37" s="142"/>
      <c r="D37" s="142"/>
      <c r="E37" s="142"/>
      <c r="F37" s="142"/>
      <c r="G37" s="142"/>
    </row>
    <row r="38" spans="1:7" ht="7.5" customHeight="1" x14ac:dyDescent="0.3"/>
    <row r="39" spans="1:7" ht="32.25" customHeight="1" x14ac:dyDescent="0.3">
      <c r="A39" s="6" t="s">
        <v>308</v>
      </c>
      <c r="B39" s="6"/>
      <c r="C39" s="6"/>
      <c r="D39" s="6"/>
      <c r="E39" s="6"/>
      <c r="F39" s="6"/>
      <c r="G39" s="6"/>
    </row>
  </sheetData>
  <mergeCells count="17">
    <mergeCell ref="B37:G37"/>
    <mergeCell ref="A39:G39"/>
    <mergeCell ref="B32:G32"/>
    <mergeCell ref="B33:G33"/>
    <mergeCell ref="B34:G34"/>
    <mergeCell ref="B35:G35"/>
    <mergeCell ref="B36:G36"/>
    <mergeCell ref="B25:G25"/>
    <mergeCell ref="B27:G27"/>
    <mergeCell ref="B28:G28"/>
    <mergeCell ref="A30:G30"/>
    <mergeCell ref="B31:G31"/>
    <mergeCell ref="A1:G1"/>
    <mergeCell ref="A2:G2"/>
    <mergeCell ref="A5:G5"/>
    <mergeCell ref="A9:G9"/>
    <mergeCell ref="A21:G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8860B"/>
  </sheetPr>
  <dimension ref="A1:H25"/>
  <sheetViews>
    <sheetView zoomScaleNormal="100" workbookViewId="0">
      <selection activeCell="C30" sqref="C30"/>
    </sheetView>
  </sheetViews>
  <sheetFormatPr defaultColWidth="8.6640625" defaultRowHeight="14.4" x14ac:dyDescent="0.3"/>
  <cols>
    <col min="1" max="1" width="31.5546875" customWidth="1"/>
    <col min="2" max="8" width="14" customWidth="1"/>
    <col min="9" max="9" width="32" customWidth="1"/>
  </cols>
  <sheetData>
    <row r="1" spans="1:8" ht="27.75" customHeight="1" x14ac:dyDescent="0.3">
      <c r="A1" s="8" t="s">
        <v>154</v>
      </c>
      <c r="B1" s="8"/>
      <c r="C1" s="8"/>
      <c r="D1" s="8"/>
      <c r="E1" s="8"/>
      <c r="F1" s="8"/>
      <c r="G1" s="8"/>
      <c r="H1" s="8"/>
    </row>
    <row r="2" spans="1:8" ht="15.75" customHeight="1" x14ac:dyDescent="0.3">
      <c r="A2" s="7" t="s">
        <v>309</v>
      </c>
      <c r="B2" s="7"/>
      <c r="C2" s="7"/>
      <c r="D2" s="7"/>
      <c r="E2" s="7"/>
      <c r="F2" s="7"/>
      <c r="G2" s="7"/>
      <c r="H2" s="7"/>
    </row>
    <row r="3" spans="1:8" ht="7.5" customHeight="1" x14ac:dyDescent="0.3"/>
    <row r="4" spans="1:8" ht="18" customHeight="1" x14ac:dyDescent="0.3">
      <c r="A4" s="11" t="s">
        <v>155</v>
      </c>
      <c r="B4" s="11"/>
      <c r="C4" s="11"/>
      <c r="D4" s="11"/>
      <c r="E4" s="11"/>
      <c r="F4" s="11"/>
      <c r="G4" s="11"/>
      <c r="H4" s="11"/>
    </row>
    <row r="5" spans="1:8" ht="30" customHeight="1" x14ac:dyDescent="0.3">
      <c r="A5" s="65" t="s">
        <v>156</v>
      </c>
      <c r="B5" s="65" t="s">
        <v>157</v>
      </c>
      <c r="C5" s="65" t="s">
        <v>158</v>
      </c>
      <c r="D5" s="65" t="s">
        <v>159</v>
      </c>
      <c r="E5" s="65" t="s">
        <v>160</v>
      </c>
      <c r="F5" s="65" t="s">
        <v>161</v>
      </c>
      <c r="G5" s="65" t="s">
        <v>162</v>
      </c>
      <c r="H5" s="65" t="s">
        <v>163</v>
      </c>
    </row>
    <row r="6" spans="1:8" ht="14.25" customHeight="1" x14ac:dyDescent="0.3">
      <c r="A6" s="40" t="s">
        <v>164</v>
      </c>
      <c r="B6" s="66" t="s">
        <v>165</v>
      </c>
      <c r="C6" s="67">
        <v>440</v>
      </c>
      <c r="D6" s="68">
        <v>40</v>
      </c>
      <c r="E6" s="68">
        <v>31</v>
      </c>
      <c r="F6" s="68">
        <v>12</v>
      </c>
      <c r="G6" s="69">
        <v>0.12</v>
      </c>
      <c r="H6" s="69">
        <v>0.52800000000000002</v>
      </c>
    </row>
    <row r="7" spans="1:8" ht="14.25" customHeight="1" x14ac:dyDescent="0.3">
      <c r="A7" s="20" t="s">
        <v>166</v>
      </c>
      <c r="B7" s="70" t="s">
        <v>167</v>
      </c>
      <c r="C7" s="71">
        <v>120</v>
      </c>
      <c r="D7" s="72">
        <v>20</v>
      </c>
      <c r="E7" s="72">
        <v>15</v>
      </c>
      <c r="F7" s="72">
        <v>5</v>
      </c>
      <c r="G7" s="73">
        <v>0.08</v>
      </c>
      <c r="H7" s="73">
        <v>0.47</v>
      </c>
    </row>
    <row r="8" spans="1:8" ht="14.25" customHeight="1" x14ac:dyDescent="0.3">
      <c r="A8" s="23" t="s">
        <v>168</v>
      </c>
      <c r="B8" s="74" t="s">
        <v>169</v>
      </c>
      <c r="C8" s="75">
        <v>80</v>
      </c>
      <c r="D8" s="76">
        <v>22</v>
      </c>
      <c r="E8" s="76">
        <v>16</v>
      </c>
      <c r="F8" s="76">
        <v>6</v>
      </c>
      <c r="G8" s="77">
        <v>0.09</v>
      </c>
      <c r="H8" s="77">
        <v>0.48</v>
      </c>
    </row>
    <row r="9" spans="1:8" ht="14.25" customHeight="1" x14ac:dyDescent="0.3">
      <c r="A9" s="20" t="s">
        <v>170</v>
      </c>
      <c r="B9" s="70" t="s">
        <v>171</v>
      </c>
      <c r="C9" s="71">
        <v>70</v>
      </c>
      <c r="D9" s="72">
        <v>25</v>
      </c>
      <c r="E9" s="72">
        <v>18</v>
      </c>
      <c r="F9" s="72">
        <v>8</v>
      </c>
      <c r="G9" s="73">
        <v>7.0000000000000007E-2</v>
      </c>
      <c r="H9" s="73">
        <v>0.6</v>
      </c>
    </row>
    <row r="10" spans="1:8" ht="14.25" customHeight="1" x14ac:dyDescent="0.3">
      <c r="A10" s="23" t="s">
        <v>172</v>
      </c>
      <c r="B10" s="74" t="s">
        <v>173</v>
      </c>
      <c r="C10" s="75">
        <v>85</v>
      </c>
      <c r="D10" s="76">
        <v>28</v>
      </c>
      <c r="E10" s="76">
        <v>20</v>
      </c>
      <c r="F10" s="76">
        <v>7</v>
      </c>
      <c r="G10" s="77">
        <v>0.1</v>
      </c>
      <c r="H10" s="77">
        <v>0.46</v>
      </c>
    </row>
    <row r="11" spans="1:8" ht="6" customHeight="1" x14ac:dyDescent="0.3"/>
    <row r="12" spans="1:8" ht="14.25" customHeight="1" x14ac:dyDescent="0.3">
      <c r="A12" s="78" t="s">
        <v>174</v>
      </c>
      <c r="B12" s="79" t="s">
        <v>93</v>
      </c>
      <c r="C12" s="80">
        <f t="shared" ref="C12:H12" si="0">AVERAGE(C7:C10)</f>
        <v>88.75</v>
      </c>
      <c r="D12" s="80">
        <f t="shared" si="0"/>
        <v>23.75</v>
      </c>
      <c r="E12" s="80">
        <f t="shared" si="0"/>
        <v>17.25</v>
      </c>
      <c r="F12" s="80">
        <f t="shared" si="0"/>
        <v>6.5</v>
      </c>
      <c r="G12" s="81">
        <f t="shared" si="0"/>
        <v>8.4999999999999992E-2</v>
      </c>
      <c r="H12" s="81">
        <f t="shared" si="0"/>
        <v>0.50249999999999995</v>
      </c>
    </row>
    <row r="13" spans="1:8" ht="14.25" customHeight="1" x14ac:dyDescent="0.3">
      <c r="A13" s="56" t="s">
        <v>175</v>
      </c>
      <c r="B13" s="82" t="s">
        <v>93</v>
      </c>
      <c r="C13" s="83" t="s">
        <v>176</v>
      </c>
      <c r="D13" s="84">
        <f>(D6-D12)/D12</f>
        <v>0.68421052631578949</v>
      </c>
      <c r="E13" s="84">
        <f>(E6-E12)/E12</f>
        <v>0.79710144927536231</v>
      </c>
      <c r="F13" s="84">
        <f>(F6-F12)/F12</f>
        <v>0.84615384615384615</v>
      </c>
      <c r="G13" s="82" t="s">
        <v>93</v>
      </c>
      <c r="H13" s="82" t="s">
        <v>93</v>
      </c>
    </row>
    <row r="14" spans="1:8" ht="7.5" customHeight="1" x14ac:dyDescent="0.3"/>
    <row r="15" spans="1:8" ht="14.25" customHeight="1" x14ac:dyDescent="0.3">
      <c r="A15" s="11" t="s">
        <v>177</v>
      </c>
      <c r="B15" s="11"/>
      <c r="C15" s="11"/>
      <c r="D15" s="11"/>
      <c r="E15" s="11"/>
      <c r="F15" s="11"/>
      <c r="G15" s="11"/>
      <c r="H15" s="11"/>
    </row>
    <row r="16" spans="1:8" ht="21.75" customHeight="1" x14ac:dyDescent="0.3">
      <c r="A16" s="6" t="s">
        <v>178</v>
      </c>
      <c r="B16" s="6"/>
      <c r="C16" s="6"/>
      <c r="D16" s="6"/>
      <c r="E16" s="6"/>
      <c r="F16" s="6"/>
      <c r="G16" s="6"/>
      <c r="H16" s="6"/>
    </row>
    <row r="17" spans="1:8" ht="30" customHeight="1" x14ac:dyDescent="0.3">
      <c r="A17" s="65" t="s">
        <v>179</v>
      </c>
      <c r="B17" s="65" t="s">
        <v>180</v>
      </c>
      <c r="C17" s="65" t="s">
        <v>181</v>
      </c>
      <c r="D17" s="85" t="s">
        <v>182</v>
      </c>
      <c r="E17" s="65" t="s">
        <v>183</v>
      </c>
      <c r="F17" s="65" t="s">
        <v>184</v>
      </c>
      <c r="G17" s="65" t="s">
        <v>185</v>
      </c>
      <c r="H17" s="65" t="s">
        <v>186</v>
      </c>
    </row>
    <row r="18" spans="1:8" ht="32.25" customHeight="1" x14ac:dyDescent="0.3">
      <c r="A18" s="86" t="s">
        <v>187</v>
      </c>
      <c r="B18" s="87" t="s">
        <v>188</v>
      </c>
      <c r="C18" s="88">
        <f>D12</f>
        <v>23.75</v>
      </c>
      <c r="D18" s="89">
        <f>'2. HISTORICAL'!F14</f>
        <v>24.71</v>
      </c>
      <c r="E18" s="90" t="s">
        <v>189</v>
      </c>
      <c r="F18" s="90" t="s">
        <v>189</v>
      </c>
      <c r="G18" s="90" t="s">
        <v>189</v>
      </c>
      <c r="H18" s="91">
        <f>C18*D18</f>
        <v>586.86250000000007</v>
      </c>
    </row>
    <row r="19" spans="1:8" ht="14.25" customHeight="1" x14ac:dyDescent="0.3">
      <c r="A19" s="56" t="s">
        <v>190</v>
      </c>
      <c r="B19" s="92" t="s">
        <v>191</v>
      </c>
      <c r="C19" s="46">
        <f>E12</f>
        <v>17.25</v>
      </c>
      <c r="D19" s="93">
        <f>'3. DCF VALUATION'!C11+'3. DCF VALUATION'!C15</f>
        <v>13171.3344</v>
      </c>
      <c r="E19" s="62">
        <f>C19*D19</f>
        <v>227205.5184</v>
      </c>
      <c r="F19" s="93">
        <f>'1. INPUTS'!B37</f>
        <v>-11000</v>
      </c>
      <c r="G19" s="57">
        <f>E19-'1. INPUTS'!B37</f>
        <v>238205.5184</v>
      </c>
      <c r="H19" s="94">
        <f>G19/'1. INPUTS'!B7</f>
        <v>621.94652323759794</v>
      </c>
    </row>
    <row r="20" spans="1:8" ht="6" customHeight="1" x14ac:dyDescent="0.3"/>
    <row r="21" spans="1:8" ht="14.25" customHeight="1" x14ac:dyDescent="0.3">
      <c r="A21" s="56" t="s">
        <v>192</v>
      </c>
      <c r="B21" s="143"/>
      <c r="C21" s="143"/>
      <c r="D21" s="143"/>
      <c r="E21" s="143"/>
      <c r="F21" s="143"/>
      <c r="G21" s="143"/>
      <c r="H21" s="94">
        <f>AVERAGE(H18:H19)</f>
        <v>604.40451161879901</v>
      </c>
    </row>
    <row r="22" spans="1:8" ht="14.25" customHeight="1" x14ac:dyDescent="0.3">
      <c r="A22" s="20" t="s">
        <v>193</v>
      </c>
      <c r="B22" s="143"/>
      <c r="C22" s="143"/>
      <c r="D22" s="143"/>
      <c r="E22" s="143"/>
      <c r="F22" s="143"/>
      <c r="G22" s="143"/>
      <c r="H22" s="95">
        <f>'1. INPUTS'!B6</f>
        <v>1150</v>
      </c>
    </row>
    <row r="23" spans="1:8" ht="14.25" customHeight="1" x14ac:dyDescent="0.3">
      <c r="A23" s="56" t="s">
        <v>153</v>
      </c>
      <c r="B23" s="143"/>
      <c r="C23" s="143"/>
      <c r="D23" s="143"/>
      <c r="E23" s="143"/>
      <c r="F23" s="143"/>
      <c r="G23" s="143"/>
      <c r="H23" s="96">
        <f>(H21-H22)/H22</f>
        <v>-0.47443085946191393</v>
      </c>
    </row>
    <row r="24" spans="1:8" ht="7.5" customHeight="1" x14ac:dyDescent="0.3"/>
    <row r="25" spans="1:8" ht="32.25" customHeight="1" x14ac:dyDescent="0.3">
      <c r="A25" s="6" t="s">
        <v>310</v>
      </c>
      <c r="B25" s="6"/>
      <c r="C25" s="6"/>
      <c r="D25" s="6"/>
      <c r="E25" s="6"/>
      <c r="F25" s="6"/>
      <c r="G25" s="6"/>
      <c r="H25" s="6"/>
    </row>
  </sheetData>
  <mergeCells count="9">
    <mergeCell ref="B21:G21"/>
    <mergeCell ref="B22:G22"/>
    <mergeCell ref="B23:G23"/>
    <mergeCell ref="A25:H25"/>
    <mergeCell ref="A1:H1"/>
    <mergeCell ref="A2:H2"/>
    <mergeCell ref="A4:H4"/>
    <mergeCell ref="A15:H15"/>
    <mergeCell ref="A16:H1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D29"/>
  <sheetViews>
    <sheetView zoomScaleNormal="100"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B32" sqref="B32"/>
    </sheetView>
  </sheetViews>
  <sheetFormatPr defaultColWidth="8.6640625" defaultRowHeight="14.4" x14ac:dyDescent="0.3"/>
  <cols>
    <col min="1" max="1" width="38" customWidth="1"/>
    <col min="2" max="2" width="35.5546875" bestFit="1" customWidth="1"/>
    <col min="3" max="3" width="18" customWidth="1"/>
    <col min="4" max="4" width="44" customWidth="1"/>
  </cols>
  <sheetData>
    <row r="1" spans="1:4" ht="27.75" customHeight="1" x14ac:dyDescent="0.3">
      <c r="A1" s="8" t="s">
        <v>194</v>
      </c>
      <c r="B1" s="8"/>
      <c r="C1" s="8"/>
      <c r="D1" s="8"/>
    </row>
    <row r="2" spans="1:4" ht="18" customHeight="1" x14ac:dyDescent="0.3">
      <c r="A2" s="144" t="s">
        <v>195</v>
      </c>
      <c r="B2" s="144"/>
      <c r="C2" s="144"/>
      <c r="D2" s="144"/>
    </row>
    <row r="3" spans="1:4" ht="7.5" customHeight="1" x14ac:dyDescent="0.3"/>
    <row r="4" spans="1:4" ht="19.5" customHeight="1" x14ac:dyDescent="0.3">
      <c r="A4" s="15" t="s">
        <v>196</v>
      </c>
      <c r="B4" s="15" t="s">
        <v>2</v>
      </c>
      <c r="C4" s="15" t="s">
        <v>197</v>
      </c>
      <c r="D4" s="15" t="s">
        <v>4</v>
      </c>
    </row>
    <row r="5" spans="1:4" ht="14.25" customHeight="1" x14ac:dyDescent="0.3">
      <c r="A5" s="11" t="s">
        <v>198</v>
      </c>
      <c r="B5" s="11"/>
      <c r="C5" s="11"/>
      <c r="D5" s="11"/>
    </row>
    <row r="6" spans="1:4" ht="33.75" customHeight="1" x14ac:dyDescent="0.3">
      <c r="A6" s="97" t="s">
        <v>199</v>
      </c>
      <c r="B6" s="31">
        <v>2.8000000000000001E-2</v>
      </c>
      <c r="C6" s="98" t="s">
        <v>200</v>
      </c>
      <c r="D6" s="19" t="s">
        <v>311</v>
      </c>
    </row>
    <row r="7" spans="1:4" ht="33.75" customHeight="1" x14ac:dyDescent="0.3">
      <c r="A7" s="97" t="s">
        <v>201</v>
      </c>
      <c r="B7" s="99">
        <v>1.35</v>
      </c>
      <c r="C7" s="98" t="s">
        <v>202</v>
      </c>
      <c r="D7" s="19" t="s">
        <v>314</v>
      </c>
    </row>
    <row r="8" spans="1:4" ht="22.5" customHeight="1" x14ac:dyDescent="0.3">
      <c r="A8" s="97" t="s">
        <v>203</v>
      </c>
      <c r="B8" s="31">
        <v>5.5E-2</v>
      </c>
      <c r="C8" s="98" t="s">
        <v>200</v>
      </c>
      <c r="D8" s="19" t="s">
        <v>204</v>
      </c>
    </row>
    <row r="9" spans="1:4" ht="14.25" customHeight="1" x14ac:dyDescent="0.3">
      <c r="A9" s="56" t="s">
        <v>205</v>
      </c>
      <c r="B9" s="100">
        <f>B6+B8</f>
        <v>8.3000000000000004E-2</v>
      </c>
      <c r="C9" s="101" t="s">
        <v>200</v>
      </c>
      <c r="D9" s="19" t="s">
        <v>206</v>
      </c>
    </row>
    <row r="10" spans="1:4" ht="7.5" customHeight="1" x14ac:dyDescent="0.3"/>
    <row r="11" spans="1:4" ht="14.25" customHeight="1" x14ac:dyDescent="0.3">
      <c r="A11" s="11" t="s">
        <v>207</v>
      </c>
      <c r="B11" s="11"/>
      <c r="C11" s="11"/>
      <c r="D11" s="11"/>
    </row>
    <row r="12" spans="1:4" ht="33.75" customHeight="1" x14ac:dyDescent="0.3">
      <c r="A12" s="56" t="s">
        <v>208</v>
      </c>
      <c r="B12" s="84">
        <f>B6+B7*B8</f>
        <v>0.10225000000000001</v>
      </c>
      <c r="C12" s="92" t="s">
        <v>200</v>
      </c>
      <c r="D12" s="19" t="s">
        <v>209</v>
      </c>
    </row>
    <row r="13" spans="1:4" ht="7.5" customHeight="1" x14ac:dyDescent="0.3"/>
    <row r="14" spans="1:4" ht="14.25" customHeight="1" x14ac:dyDescent="0.3">
      <c r="A14" s="11" t="s">
        <v>210</v>
      </c>
      <c r="B14" s="11"/>
      <c r="C14" s="11"/>
      <c r="D14" s="11"/>
    </row>
    <row r="15" spans="1:4" ht="14.25" customHeight="1" x14ac:dyDescent="0.3">
      <c r="A15" s="61" t="s">
        <v>211</v>
      </c>
      <c r="B15" s="102">
        <f>'3. DCF VALUATION'!B35</f>
        <v>550.95822345813167</v>
      </c>
      <c r="C15" s="101" t="s">
        <v>212</v>
      </c>
      <c r="D15" s="19" t="s">
        <v>213</v>
      </c>
    </row>
    <row r="16" spans="1:4" ht="32.25" customHeight="1" x14ac:dyDescent="0.3">
      <c r="A16" s="61" t="s">
        <v>214</v>
      </c>
      <c r="B16" s="102">
        <f>'1. INPUTS'!B6</f>
        <v>1150</v>
      </c>
      <c r="C16" s="101" t="s">
        <v>212</v>
      </c>
      <c r="D16" s="19" t="s">
        <v>215</v>
      </c>
    </row>
    <row r="17" spans="1:4" ht="45" customHeight="1" x14ac:dyDescent="0.3">
      <c r="A17" s="103" t="s">
        <v>216</v>
      </c>
      <c r="B17" s="42">
        <f>(B15/B16)^(1/3)-1</f>
        <v>-0.21751934443129106</v>
      </c>
      <c r="C17" s="22" t="s">
        <v>200</v>
      </c>
      <c r="D17" s="19" t="s">
        <v>217</v>
      </c>
    </row>
    <row r="18" spans="1:4" ht="22.5" customHeight="1" x14ac:dyDescent="0.3">
      <c r="A18" s="20" t="s">
        <v>218</v>
      </c>
      <c r="B18" s="31">
        <v>8.9999999999999993E-3</v>
      </c>
      <c r="C18" s="22" t="s">
        <v>200</v>
      </c>
      <c r="D18" s="19" t="s">
        <v>219</v>
      </c>
    </row>
    <row r="19" spans="1:4" ht="22.5" customHeight="1" x14ac:dyDescent="0.3">
      <c r="A19" s="104" t="s">
        <v>220</v>
      </c>
      <c r="B19" s="100">
        <f>B17+B18</f>
        <v>-0.20851934443129105</v>
      </c>
      <c r="C19" s="101" t="s">
        <v>200</v>
      </c>
      <c r="D19" s="19" t="s">
        <v>313</v>
      </c>
    </row>
    <row r="20" spans="1:4" ht="14.25" customHeight="1" x14ac:dyDescent="0.3">
      <c r="A20" s="61" t="s">
        <v>221</v>
      </c>
      <c r="B20" s="100">
        <f>B12</f>
        <v>0.10225000000000001</v>
      </c>
      <c r="C20" s="101" t="s">
        <v>200</v>
      </c>
      <c r="D20" s="19" t="s">
        <v>222</v>
      </c>
    </row>
    <row r="21" spans="1:4" ht="22.5" customHeight="1" x14ac:dyDescent="0.3">
      <c r="A21" s="64" t="s">
        <v>223</v>
      </c>
      <c r="B21" s="105">
        <f>B19-B20</f>
        <v>-0.31076934443129106</v>
      </c>
      <c r="C21" s="32" t="s">
        <v>200</v>
      </c>
      <c r="D21" s="19" t="s">
        <v>312</v>
      </c>
    </row>
    <row r="22" spans="1:4" ht="7.5" customHeight="1" x14ac:dyDescent="0.3"/>
    <row r="23" spans="1:4" ht="14.25" customHeight="1" x14ac:dyDescent="0.3">
      <c r="A23" s="11" t="s">
        <v>224</v>
      </c>
      <c r="B23" s="11"/>
      <c r="C23" s="11"/>
      <c r="D23" s="11"/>
    </row>
    <row r="24" spans="1:4" ht="33.75" customHeight="1" x14ac:dyDescent="0.3">
      <c r="A24" s="30" t="s">
        <v>225</v>
      </c>
      <c r="B24" s="106" t="s">
        <v>226</v>
      </c>
      <c r="C24" s="32" t="s">
        <v>227</v>
      </c>
      <c r="D24" s="19" t="s">
        <v>228</v>
      </c>
    </row>
    <row r="25" spans="1:4" ht="45" customHeight="1" x14ac:dyDescent="0.3">
      <c r="A25" s="30" t="s">
        <v>229</v>
      </c>
      <c r="B25" s="107" t="s">
        <v>230</v>
      </c>
      <c r="C25" s="32" t="s">
        <v>231</v>
      </c>
      <c r="D25" s="19" t="s">
        <v>232</v>
      </c>
    </row>
    <row r="26" spans="1:4" ht="33.75" customHeight="1" x14ac:dyDescent="0.3">
      <c r="A26" s="30" t="s">
        <v>233</v>
      </c>
      <c r="B26" s="106" t="s">
        <v>234</v>
      </c>
      <c r="C26" s="32" t="s">
        <v>235</v>
      </c>
      <c r="D26" s="19" t="s">
        <v>236</v>
      </c>
    </row>
    <row r="27" spans="1:4" ht="33.75" customHeight="1" x14ac:dyDescent="0.3">
      <c r="A27" s="30" t="s">
        <v>237</v>
      </c>
      <c r="B27" s="106" t="s">
        <v>238</v>
      </c>
      <c r="C27" s="32" t="s">
        <v>231</v>
      </c>
      <c r="D27" s="19" t="s">
        <v>239</v>
      </c>
    </row>
    <row r="28" spans="1:4" ht="7.5" customHeight="1" x14ac:dyDescent="0.3"/>
    <row r="29" spans="1:4" ht="32.25" customHeight="1" x14ac:dyDescent="0.3">
      <c r="A29" s="6" t="s">
        <v>315</v>
      </c>
      <c r="B29" s="6"/>
      <c r="C29" s="6"/>
      <c r="D29" s="6"/>
    </row>
  </sheetData>
  <mergeCells count="7">
    <mergeCell ref="A23:D23"/>
    <mergeCell ref="A29:D29"/>
    <mergeCell ref="A1:D1"/>
    <mergeCell ref="A2:D2"/>
    <mergeCell ref="A5:D5"/>
    <mergeCell ref="A11:D11"/>
    <mergeCell ref="A14:D1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D59"/>
  <sheetViews>
    <sheetView topLeftCell="A14" zoomScaleNormal="100" workbookViewId="0">
      <selection activeCell="C27" sqref="C27"/>
    </sheetView>
  </sheetViews>
  <sheetFormatPr defaultColWidth="8.6640625" defaultRowHeight="14.4" x14ac:dyDescent="0.3"/>
  <cols>
    <col min="1" max="1" width="34" customWidth="1"/>
    <col min="2" max="3" width="20" customWidth="1"/>
    <col min="4" max="4" width="38" customWidth="1"/>
  </cols>
  <sheetData>
    <row r="1" spans="1:4" ht="31.5" customHeight="1" x14ac:dyDescent="0.3">
      <c r="A1" s="14" t="s">
        <v>240</v>
      </c>
      <c r="B1" s="14"/>
      <c r="C1" s="14"/>
      <c r="D1" s="14"/>
    </row>
    <row r="2" spans="1:4" ht="18" customHeight="1" x14ac:dyDescent="0.3">
      <c r="A2" s="144" t="s">
        <v>316</v>
      </c>
      <c r="B2" s="144"/>
      <c r="C2" s="144"/>
      <c r="D2" s="144"/>
    </row>
    <row r="3" spans="1:4" ht="7.5" customHeight="1" x14ac:dyDescent="0.3"/>
    <row r="4" spans="1:4" ht="14.25" customHeight="1" x14ac:dyDescent="0.3">
      <c r="A4" s="11" t="s">
        <v>241</v>
      </c>
      <c r="B4" s="11"/>
      <c r="C4" s="11"/>
      <c r="D4" s="11"/>
    </row>
    <row r="5" spans="1:4" ht="17.25" customHeight="1" x14ac:dyDescent="0.3">
      <c r="A5" s="56" t="s">
        <v>242</v>
      </c>
      <c r="B5" s="145" t="s">
        <v>243</v>
      </c>
      <c r="C5" s="145"/>
      <c r="D5" s="145"/>
    </row>
    <row r="6" spans="1:4" ht="14.25" customHeight="1" x14ac:dyDescent="0.3">
      <c r="A6" s="56" t="s">
        <v>244</v>
      </c>
      <c r="B6" s="146">
        <f>'1. INPUTS'!B38</f>
        <v>577.68136753846534</v>
      </c>
      <c r="C6" s="146"/>
      <c r="D6" s="146"/>
    </row>
    <row r="7" spans="1:4" ht="14.25" customHeight="1" x14ac:dyDescent="0.3">
      <c r="A7" s="20" t="s">
        <v>193</v>
      </c>
      <c r="B7" s="141">
        <f>'1. INPUTS'!B6</f>
        <v>1150</v>
      </c>
      <c r="C7" s="141"/>
      <c r="D7" s="141"/>
    </row>
    <row r="8" spans="1:4" ht="14.25" customHeight="1" x14ac:dyDescent="0.3">
      <c r="A8" s="56" t="s">
        <v>245</v>
      </c>
      <c r="B8" s="147">
        <f>(B6-B7)/B7</f>
        <v>-0.49766837605350839</v>
      </c>
      <c r="C8" s="147"/>
      <c r="D8" s="147"/>
    </row>
    <row r="9" spans="1:4" ht="14.25" customHeight="1" x14ac:dyDescent="0.3">
      <c r="A9" s="20" t="s">
        <v>246</v>
      </c>
      <c r="B9" s="148" t="s">
        <v>247</v>
      </c>
      <c r="C9" s="148"/>
      <c r="D9" s="148"/>
    </row>
    <row r="10" spans="1:4" ht="14.25" customHeight="1" x14ac:dyDescent="0.3">
      <c r="A10" s="20" t="s">
        <v>248</v>
      </c>
      <c r="B10" s="148" t="s">
        <v>249</v>
      </c>
      <c r="C10" s="148"/>
      <c r="D10" s="148"/>
    </row>
    <row r="11" spans="1:4" ht="7.5" customHeight="1" x14ac:dyDescent="0.3"/>
    <row r="12" spans="1:4" ht="14.25" customHeight="1" x14ac:dyDescent="0.3">
      <c r="A12" s="11" t="s">
        <v>250</v>
      </c>
      <c r="B12" s="11"/>
      <c r="C12" s="11"/>
      <c r="D12" s="11"/>
    </row>
    <row r="13" spans="1:4" ht="14.25" customHeight="1" x14ac:dyDescent="0.3">
      <c r="A13" s="15" t="s">
        <v>251</v>
      </c>
      <c r="B13" s="15" t="s">
        <v>252</v>
      </c>
      <c r="C13" s="15" t="s">
        <v>253</v>
      </c>
      <c r="D13" s="15" t="s">
        <v>254</v>
      </c>
    </row>
    <row r="14" spans="1:4" ht="14.25" customHeight="1" x14ac:dyDescent="0.3">
      <c r="A14" s="40" t="s">
        <v>255</v>
      </c>
      <c r="B14" s="108">
        <f>'3. DCF VALUATION'!B35</f>
        <v>550.95822345813167</v>
      </c>
      <c r="C14" s="109" t="s">
        <v>256</v>
      </c>
      <c r="D14" s="110" t="s">
        <v>257</v>
      </c>
    </row>
    <row r="15" spans="1:4" ht="14.25" customHeight="1" x14ac:dyDescent="0.3">
      <c r="A15" s="20" t="s">
        <v>187</v>
      </c>
      <c r="B15" s="95">
        <f>'4. COMP VALUATION'!H18</f>
        <v>586.86250000000007</v>
      </c>
      <c r="C15" s="111" t="s">
        <v>258</v>
      </c>
      <c r="D15" s="112" t="s">
        <v>259</v>
      </c>
    </row>
    <row r="16" spans="1:4" ht="14.25" customHeight="1" x14ac:dyDescent="0.3">
      <c r="A16" s="20" t="s">
        <v>190</v>
      </c>
      <c r="B16" s="95">
        <f>'4. COMP VALUATION'!H19</f>
        <v>621.94652323759794</v>
      </c>
      <c r="C16" s="111" t="s">
        <v>260</v>
      </c>
      <c r="D16" s="112" t="s">
        <v>259</v>
      </c>
    </row>
    <row r="17" spans="1:4" ht="14.25" customHeight="1" x14ac:dyDescent="0.3">
      <c r="A17" s="16" t="s">
        <v>261</v>
      </c>
      <c r="B17" s="113">
        <f>'4. COMP VALUATION'!H21</f>
        <v>604.40451161879901</v>
      </c>
      <c r="C17" s="114" t="s">
        <v>262</v>
      </c>
      <c r="D17" s="115" t="s">
        <v>259</v>
      </c>
    </row>
    <row r="18" spans="1:4" ht="14.25" customHeight="1" x14ac:dyDescent="0.3">
      <c r="A18" s="56" t="s">
        <v>263</v>
      </c>
      <c r="B18" s="116">
        <f>'1. INPUTS'!B6</f>
        <v>1150</v>
      </c>
      <c r="C18" s="117" t="s">
        <v>264</v>
      </c>
      <c r="D18" s="118" t="s">
        <v>265</v>
      </c>
    </row>
    <row r="19" spans="1:4" ht="7.5" customHeight="1" x14ac:dyDescent="0.3"/>
    <row r="20" spans="1:4" ht="14.25" customHeight="1" x14ac:dyDescent="0.3">
      <c r="A20" s="11" t="s">
        <v>266</v>
      </c>
      <c r="B20" s="11"/>
      <c r="C20" s="11"/>
      <c r="D20" s="11"/>
    </row>
    <row r="21" spans="1:4" ht="14.25" customHeight="1" x14ac:dyDescent="0.3">
      <c r="A21" s="15" t="s">
        <v>196</v>
      </c>
      <c r="B21" s="15" t="s">
        <v>2</v>
      </c>
      <c r="C21" s="15" t="s">
        <v>267</v>
      </c>
      <c r="D21" s="15" t="s">
        <v>268</v>
      </c>
    </row>
    <row r="22" spans="1:4" ht="14.25" customHeight="1" x14ac:dyDescent="0.3">
      <c r="A22" s="23" t="s">
        <v>269</v>
      </c>
      <c r="B22" s="119">
        <f>'5. CAPM'!B6</f>
        <v>2.8000000000000001E-2</v>
      </c>
      <c r="C22" s="114" t="s">
        <v>270</v>
      </c>
      <c r="D22" s="23" t="s">
        <v>317</v>
      </c>
    </row>
    <row r="23" spans="1:4" ht="14.25" customHeight="1" x14ac:dyDescent="0.3">
      <c r="A23" s="20" t="s">
        <v>271</v>
      </c>
      <c r="B23" s="95">
        <f>'5. CAPM'!B7</f>
        <v>1.35</v>
      </c>
      <c r="C23" s="111" t="s">
        <v>272</v>
      </c>
      <c r="D23" s="20" t="s">
        <v>273</v>
      </c>
    </row>
    <row r="24" spans="1:4" ht="14.25" customHeight="1" x14ac:dyDescent="0.3">
      <c r="A24" s="23" t="s">
        <v>274</v>
      </c>
      <c r="B24" s="119">
        <f>'5. CAPM'!B8</f>
        <v>5.5E-2</v>
      </c>
      <c r="C24" s="114" t="s">
        <v>275</v>
      </c>
      <c r="D24" s="23" t="s">
        <v>276</v>
      </c>
    </row>
    <row r="25" spans="1:4" ht="14.25" customHeight="1" x14ac:dyDescent="0.3">
      <c r="A25" s="61" t="s">
        <v>277</v>
      </c>
      <c r="B25" s="120">
        <f>'5. CAPM'!B12</f>
        <v>0.10225000000000001</v>
      </c>
      <c r="C25" s="117" t="s">
        <v>278</v>
      </c>
      <c r="D25" s="61" t="s">
        <v>279</v>
      </c>
    </row>
    <row r="26" spans="1:4" ht="14.25" customHeight="1" x14ac:dyDescent="0.3">
      <c r="A26" s="23" t="s">
        <v>280</v>
      </c>
      <c r="B26" s="119">
        <f>'5. CAPM'!B19</f>
        <v>-0.20851934443129105</v>
      </c>
      <c r="C26" s="114" t="s">
        <v>281</v>
      </c>
      <c r="D26" s="23" t="s">
        <v>282</v>
      </c>
    </row>
    <row r="27" spans="1:4" ht="13.8" customHeight="1" x14ac:dyDescent="0.3">
      <c r="A27" s="64" t="s">
        <v>283</v>
      </c>
      <c r="B27" s="121">
        <f>'5. CAPM'!B21</f>
        <v>-0.31076934443129106</v>
      </c>
      <c r="C27" s="122" t="s">
        <v>319</v>
      </c>
      <c r="D27" s="30" t="s">
        <v>318</v>
      </c>
    </row>
    <row r="28" spans="1:4" ht="7.5" customHeight="1" x14ac:dyDescent="0.3"/>
    <row r="29" spans="1:4" ht="14.25" customHeight="1" x14ac:dyDescent="0.3">
      <c r="A29" s="11" t="s">
        <v>284</v>
      </c>
      <c r="B29" s="11"/>
      <c r="C29" s="11"/>
      <c r="D29" s="11"/>
    </row>
    <row r="30" spans="1:4" ht="14.25" customHeight="1" x14ac:dyDescent="0.3">
      <c r="A30" s="15" t="s">
        <v>285</v>
      </c>
      <c r="B30" s="15" t="s">
        <v>286</v>
      </c>
      <c r="C30" s="15" t="s">
        <v>120</v>
      </c>
      <c r="D30" s="15" t="s">
        <v>121</v>
      </c>
    </row>
    <row r="31" spans="1:4" ht="14.25" customHeight="1" x14ac:dyDescent="0.3">
      <c r="A31" s="28" t="s">
        <v>127</v>
      </c>
      <c r="B31" s="123">
        <f>'2. HISTORICAL'!E6</f>
        <v>28261</v>
      </c>
      <c r="C31" s="124">
        <f>'2. HISTORICAL'!F6</f>
        <v>32667</v>
      </c>
      <c r="D31" s="125">
        <f>'3. DCF VALUATION'!C6</f>
        <v>36587.040000000001</v>
      </c>
    </row>
    <row r="32" spans="1:4" ht="14.25" customHeight="1" x14ac:dyDescent="0.3">
      <c r="A32" s="26" t="s">
        <v>131</v>
      </c>
      <c r="B32" s="123">
        <f>'2. HISTORICAL'!E10</f>
        <v>9023</v>
      </c>
      <c r="C32" s="124">
        <f>'2. HISTORICAL'!F10</f>
        <v>11301</v>
      </c>
      <c r="D32" s="125">
        <f>'3. DCF VALUATION'!C11</f>
        <v>12073.7232</v>
      </c>
    </row>
    <row r="33" spans="1:4" ht="14.25" customHeight="1" x14ac:dyDescent="0.3">
      <c r="A33" s="28" t="s">
        <v>287</v>
      </c>
      <c r="B33" s="123">
        <f>'2. HISTORICAL'!E12</f>
        <v>7572</v>
      </c>
      <c r="C33" s="124">
        <f>'2. HISTORICAL'!F12</f>
        <v>9609</v>
      </c>
      <c r="D33" s="125">
        <f>'3. DCF VALUATION'!C11*(1-'1. INPUTS'!B30)</f>
        <v>10323.033336</v>
      </c>
    </row>
    <row r="34" spans="1:4" ht="14.25" customHeight="1" x14ac:dyDescent="0.3">
      <c r="A34" s="26" t="s">
        <v>97</v>
      </c>
      <c r="B34" s="126">
        <f>'2. HISTORICAL'!E11</f>
        <v>0.31927391104348751</v>
      </c>
      <c r="C34" s="43">
        <f>'2. HISTORICAL'!F11</f>
        <v>0.34594544953622924</v>
      </c>
      <c r="D34" s="51">
        <f>'3. DCF VALUATION'!C10</f>
        <v>0.33</v>
      </c>
    </row>
    <row r="35" spans="1:4" ht="14.25" customHeight="1" x14ac:dyDescent="0.3">
      <c r="A35" s="28" t="s">
        <v>288</v>
      </c>
      <c r="B35" s="108">
        <f>'2. HISTORICAL'!E14</f>
        <v>19.239999999999998</v>
      </c>
      <c r="C35" s="127">
        <f>'2. HISTORICAL'!F14</f>
        <v>24.71</v>
      </c>
      <c r="D35" s="89">
        <f>D33/'1. INPUTS'!B7</f>
        <v>26.953089650130551</v>
      </c>
    </row>
    <row r="36" spans="1:4" ht="14.25" customHeight="1" x14ac:dyDescent="0.3">
      <c r="A36" s="26" t="s">
        <v>289</v>
      </c>
      <c r="B36" s="128" t="str">
        <f>'2. HISTORICAL'!E27</f>
        <v>34.3x</v>
      </c>
      <c r="C36" s="129" t="str">
        <f>'2. HISTORICAL'!F27</f>
        <v>29.8x</v>
      </c>
      <c r="D36" s="88">
        <f>'1. INPUTS'!B6/D35</f>
        <v>42.666722625412625</v>
      </c>
    </row>
    <row r="37" spans="1:4" ht="7.5" customHeight="1" x14ac:dyDescent="0.3"/>
    <row r="38" spans="1:4" ht="14.25" customHeight="1" x14ac:dyDescent="0.3">
      <c r="A38" s="150"/>
      <c r="B38" s="150"/>
      <c r="C38" s="150"/>
      <c r="D38" s="150"/>
    </row>
    <row r="39" spans="1:4" ht="18" customHeight="1" x14ac:dyDescent="0.3">
      <c r="A39" s="151"/>
      <c r="B39" s="151"/>
      <c r="C39" s="151"/>
      <c r="D39" s="151"/>
    </row>
    <row r="40" spans="1:4" ht="36" customHeight="1" x14ac:dyDescent="0.3">
      <c r="A40" s="152"/>
      <c r="B40" s="152"/>
      <c r="C40" s="152"/>
      <c r="D40" s="152"/>
    </row>
    <row r="41" spans="1:4" ht="18" customHeight="1" x14ac:dyDescent="0.3">
      <c r="A41" s="151"/>
      <c r="B41" s="151"/>
      <c r="C41" s="151"/>
      <c r="D41" s="151"/>
    </row>
    <row r="42" spans="1:4" ht="36" customHeight="1" x14ac:dyDescent="0.3">
      <c r="A42" s="152"/>
      <c r="B42" s="152"/>
      <c r="C42" s="152"/>
      <c r="D42" s="152"/>
    </row>
    <row r="43" spans="1:4" ht="18" customHeight="1" x14ac:dyDescent="0.3">
      <c r="A43" s="151"/>
      <c r="B43" s="151"/>
      <c r="C43" s="151"/>
      <c r="D43" s="151"/>
    </row>
    <row r="44" spans="1:4" ht="36" customHeight="1" x14ac:dyDescent="0.3">
      <c r="A44" s="152"/>
      <c r="B44" s="152"/>
      <c r="C44" s="152"/>
      <c r="D44" s="152"/>
    </row>
    <row r="45" spans="1:4" ht="18" customHeight="1" x14ac:dyDescent="0.3">
      <c r="A45" s="151"/>
      <c r="B45" s="151"/>
      <c r="C45" s="151"/>
      <c r="D45" s="151"/>
    </row>
    <row r="46" spans="1:4" ht="36" customHeight="1" x14ac:dyDescent="0.3">
      <c r="A46" s="152"/>
      <c r="B46" s="152"/>
      <c r="C46" s="152"/>
      <c r="D46" s="152"/>
    </row>
    <row r="47" spans="1:4" ht="18" customHeight="1" x14ac:dyDescent="0.3">
      <c r="A47" s="151"/>
      <c r="B47" s="151"/>
      <c r="C47" s="151"/>
      <c r="D47" s="151"/>
    </row>
    <row r="48" spans="1:4" ht="36" customHeight="1" x14ac:dyDescent="0.3">
      <c r="A48" s="152"/>
      <c r="B48" s="152"/>
      <c r="C48" s="152"/>
      <c r="D48" s="152"/>
    </row>
    <row r="49" spans="1:4" ht="7.5" customHeight="1" x14ac:dyDescent="0.3">
      <c r="A49" s="153"/>
      <c r="B49" s="153"/>
      <c r="C49" s="153"/>
      <c r="D49" s="153"/>
    </row>
    <row r="50" spans="1:4" ht="14.25" customHeight="1" x14ac:dyDescent="0.3">
      <c r="A50" s="154"/>
      <c r="B50" s="154"/>
      <c r="C50" s="154"/>
      <c r="D50" s="154"/>
    </row>
    <row r="51" spans="1:4" ht="18" customHeight="1" x14ac:dyDescent="0.3">
      <c r="A51" s="155"/>
      <c r="B51" s="155"/>
      <c r="C51" s="155"/>
      <c r="D51" s="155"/>
    </row>
    <row r="52" spans="1:4" ht="48" customHeight="1" x14ac:dyDescent="0.3">
      <c r="A52" s="152"/>
      <c r="B52" s="152"/>
      <c r="C52" s="152"/>
      <c r="D52" s="152"/>
    </row>
    <row r="53" spans="1:4" ht="18" customHeight="1" x14ac:dyDescent="0.3">
      <c r="A53" s="155"/>
      <c r="B53" s="155"/>
      <c r="C53" s="155"/>
      <c r="D53" s="155"/>
    </row>
    <row r="54" spans="1:4" ht="48" customHeight="1" x14ac:dyDescent="0.3">
      <c r="A54" s="152"/>
      <c r="B54" s="152"/>
      <c r="C54" s="152"/>
      <c r="D54" s="152"/>
    </row>
    <row r="55" spans="1:4" ht="18" customHeight="1" x14ac:dyDescent="0.3">
      <c r="A55" s="155"/>
      <c r="B55" s="155"/>
      <c r="C55" s="155"/>
      <c r="D55" s="155"/>
    </row>
    <row r="56" spans="1:4" ht="48" customHeight="1" x14ac:dyDescent="0.3">
      <c r="A56" s="152"/>
      <c r="B56" s="152"/>
      <c r="C56" s="152"/>
      <c r="D56" s="152"/>
    </row>
    <row r="57" spans="1:4" ht="18" customHeight="1" x14ac:dyDescent="0.3">
      <c r="A57" s="155"/>
      <c r="B57" s="155"/>
      <c r="C57" s="155"/>
      <c r="D57" s="155"/>
    </row>
    <row r="58" spans="1:4" ht="48" customHeight="1" x14ac:dyDescent="0.3">
      <c r="A58" s="152"/>
      <c r="B58" s="152"/>
      <c r="C58" s="152"/>
      <c r="D58" s="152"/>
    </row>
    <row r="59" spans="1:4" ht="105.75" customHeight="1" x14ac:dyDescent="0.3">
      <c r="A59" s="19" t="s">
        <v>290</v>
      </c>
    </row>
  </sheetData>
  <mergeCells count="32">
    <mergeCell ref="A57:D57"/>
    <mergeCell ref="A58:D58"/>
    <mergeCell ref="A52:D52"/>
    <mergeCell ref="A53:D53"/>
    <mergeCell ref="A54:D54"/>
    <mergeCell ref="A55:D55"/>
    <mergeCell ref="A56:D56"/>
    <mergeCell ref="A46:D46"/>
    <mergeCell ref="A47:D47"/>
    <mergeCell ref="A48:D48"/>
    <mergeCell ref="A50:D50"/>
    <mergeCell ref="A51:D51"/>
    <mergeCell ref="A41:D41"/>
    <mergeCell ref="A42:D42"/>
    <mergeCell ref="A43:D43"/>
    <mergeCell ref="A44:D44"/>
    <mergeCell ref="A45:D45"/>
    <mergeCell ref="A20:D20"/>
    <mergeCell ref="A29:D29"/>
    <mergeCell ref="A38:D38"/>
    <mergeCell ref="A39:D39"/>
    <mergeCell ref="A40:D40"/>
    <mergeCell ref="B7:D7"/>
    <mergeCell ref="B8:D8"/>
    <mergeCell ref="B9:D9"/>
    <mergeCell ref="B10:D10"/>
    <mergeCell ref="A12:D12"/>
    <mergeCell ref="A1:D1"/>
    <mergeCell ref="A2:D2"/>
    <mergeCell ref="A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6DA4"/>
  </sheetPr>
  <dimension ref="A1:K13"/>
  <sheetViews>
    <sheetView tabSelected="1" topLeftCell="A5" zoomScale="55" zoomScaleNormal="100" workbookViewId="0">
      <selection activeCell="U13" sqref="U13"/>
    </sheetView>
  </sheetViews>
  <sheetFormatPr defaultColWidth="8.6640625" defaultRowHeight="14.4" x14ac:dyDescent="0.3"/>
  <cols>
    <col min="2" max="2" width="15.33203125" bestFit="1" customWidth="1"/>
    <col min="3" max="3" width="14.44140625" customWidth="1"/>
    <col min="4" max="4" width="17.5546875" customWidth="1"/>
    <col min="5" max="5" width="14.6640625" customWidth="1"/>
    <col min="7" max="7" width="14.88671875" customWidth="1"/>
  </cols>
  <sheetData>
    <row r="1" spans="1:11" ht="27.75" customHeight="1" x14ac:dyDescent="0.3">
      <c r="A1" s="149" t="s">
        <v>320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3" spans="1:11" ht="14.25" customHeight="1" x14ac:dyDescent="0.3">
      <c r="A3" s="15" t="s">
        <v>291</v>
      </c>
      <c r="B3" s="15" t="s">
        <v>321</v>
      </c>
      <c r="C3" s="15" t="s">
        <v>292</v>
      </c>
      <c r="D3" s="15" t="s">
        <v>293</v>
      </c>
      <c r="E3" s="15" t="s">
        <v>294</v>
      </c>
      <c r="G3" s="15" t="s">
        <v>156</v>
      </c>
      <c r="H3" s="15" t="s">
        <v>295</v>
      </c>
      <c r="I3" s="15" t="s">
        <v>296</v>
      </c>
    </row>
    <row r="4" spans="1:11" ht="14.25" customHeight="1" x14ac:dyDescent="0.3">
      <c r="A4" s="130" t="s">
        <v>297</v>
      </c>
      <c r="B4" s="131">
        <f>'2. HISTORICAL'!B12</f>
        <v>5882</v>
      </c>
      <c r="C4" s="131">
        <f>'2. HISTORICAL'!B6</f>
        <v>18611</v>
      </c>
      <c r="D4" s="132">
        <f>'2. HISTORICAL'!B11</f>
        <v>0.30793616678308527</v>
      </c>
      <c r="E4" s="132">
        <f>'2. HISTORICAL'!B13</f>
        <v>0.31604964805760033</v>
      </c>
      <c r="G4" s="133" t="s">
        <v>298</v>
      </c>
      <c r="H4" s="134">
        <v>40</v>
      </c>
      <c r="I4" s="134">
        <v>31</v>
      </c>
    </row>
    <row r="5" spans="1:11" ht="14.25" customHeight="1" x14ac:dyDescent="0.3">
      <c r="A5" s="130" t="s">
        <v>299</v>
      </c>
      <c r="B5" s="131">
        <f>'2. HISTORICAL'!C12</f>
        <v>5624</v>
      </c>
      <c r="C5" s="131">
        <f>'2. HISTORICAL'!C6</f>
        <v>21173</v>
      </c>
      <c r="D5" s="132">
        <f>'2. HISTORICAL'!C11</f>
        <v>0.28111273792093705</v>
      </c>
      <c r="E5" s="132">
        <f>'2. HISTORICAL'!C13</f>
        <v>0.26562131015916496</v>
      </c>
      <c r="G5" s="135" t="s">
        <v>300</v>
      </c>
      <c r="H5" s="136">
        <v>20</v>
      </c>
      <c r="I5" s="136">
        <v>15</v>
      </c>
    </row>
    <row r="6" spans="1:11" ht="14.25" customHeight="1" x14ac:dyDescent="0.3">
      <c r="A6" s="130" t="s">
        <v>301</v>
      </c>
      <c r="B6" s="131">
        <f>'2. HISTORICAL'!D12</f>
        <v>7837</v>
      </c>
      <c r="C6" s="131">
        <f>'2. HISTORICAL'!D6</f>
        <v>27559</v>
      </c>
      <c r="D6" s="132">
        <f>'2. HISTORICAL'!D11</f>
        <v>0.32711636851845133</v>
      </c>
      <c r="E6" s="132">
        <f>'2. HISTORICAL'!D13</f>
        <v>0.28437171160056607</v>
      </c>
      <c r="G6" s="137" t="s">
        <v>302</v>
      </c>
      <c r="H6" s="138">
        <v>22</v>
      </c>
      <c r="I6" s="138">
        <v>16</v>
      </c>
    </row>
    <row r="7" spans="1:11" ht="14.25" customHeight="1" x14ac:dyDescent="0.3">
      <c r="A7" s="130" t="s">
        <v>303</v>
      </c>
      <c r="B7" s="131">
        <f>'2. HISTORICAL'!E12</f>
        <v>7572</v>
      </c>
      <c r="C7" s="131">
        <f>'2. HISTORICAL'!E6</f>
        <v>28261</v>
      </c>
      <c r="D7" s="132">
        <f>'2. HISTORICAL'!E11</f>
        <v>0.31927391104348751</v>
      </c>
      <c r="E7" s="132">
        <f>'2. HISTORICAL'!E13</f>
        <v>0.26793107108736419</v>
      </c>
      <c r="G7" s="135" t="s">
        <v>304</v>
      </c>
      <c r="H7" s="136">
        <v>25</v>
      </c>
      <c r="I7" s="136">
        <v>18</v>
      </c>
    </row>
    <row r="8" spans="1:11" ht="14.25" customHeight="1" x14ac:dyDescent="0.3">
      <c r="A8" s="130" t="s">
        <v>120</v>
      </c>
      <c r="B8" s="131">
        <f>'2. HISTORICAL'!F12</f>
        <v>9609</v>
      </c>
      <c r="C8" s="131">
        <f>'2. HISTORICAL'!F6</f>
        <v>32667</v>
      </c>
      <c r="D8" s="132">
        <f>'2. HISTORICAL'!F11</f>
        <v>0.34594544953622924</v>
      </c>
      <c r="E8" s="132">
        <f>'2. HISTORICAL'!F13</f>
        <v>0.29415005969326846</v>
      </c>
      <c r="G8" s="137" t="s">
        <v>305</v>
      </c>
      <c r="H8" s="138">
        <v>28</v>
      </c>
      <c r="I8" s="138">
        <v>20</v>
      </c>
    </row>
    <row r="9" spans="1:11" ht="14.25" customHeight="1" x14ac:dyDescent="0.3">
      <c r="A9" s="87" t="s">
        <v>121</v>
      </c>
      <c r="B9" s="54">
        <f>'3. DCF VALUATION'!C13</f>
        <v>10323.033336</v>
      </c>
      <c r="C9" s="54">
        <f>'3. DCF VALUATION'!C6</f>
        <v>36587.040000000001</v>
      </c>
      <c r="D9" s="139">
        <f>'3. DCF VALUATION'!C10</f>
        <v>0.33</v>
      </c>
      <c r="E9" s="139">
        <f>B9/C9</f>
        <v>0.28215000000000001</v>
      </c>
    </row>
    <row r="10" spans="1:11" ht="14.25" customHeight="1" x14ac:dyDescent="0.3">
      <c r="A10" s="87" t="s">
        <v>122</v>
      </c>
      <c r="B10" s="54">
        <f>'3. DCF VALUATION'!D13</f>
        <v>11355.336669600003</v>
      </c>
      <c r="C10" s="54">
        <f>'3. DCF VALUATION'!D6</f>
        <v>40245.744000000006</v>
      </c>
      <c r="D10" s="139">
        <f>'3. DCF VALUATION'!D10</f>
        <v>0.33</v>
      </c>
      <c r="E10" s="139">
        <f>B10/C10</f>
        <v>0.28215000000000001</v>
      </c>
    </row>
    <row r="11" spans="1:11" ht="14.25" customHeight="1" x14ac:dyDescent="0.3">
      <c r="A11" s="87" t="s">
        <v>123</v>
      </c>
      <c r="B11" s="54">
        <f>'3. DCF VALUATION'!E13</f>
        <v>12635.392803264003</v>
      </c>
      <c r="C11" s="54">
        <f>'3. DCF VALUATION'!E6</f>
        <v>43465.403520000007</v>
      </c>
      <c r="D11" s="139">
        <f>'3. DCF VALUATION'!E10</f>
        <v>0.34</v>
      </c>
      <c r="E11" s="139">
        <f>B11/C11</f>
        <v>0.29070000000000001</v>
      </c>
    </row>
    <row r="12" spans="1:11" ht="14.25" customHeight="1" x14ac:dyDescent="0.3">
      <c r="A12" s="87" t="s">
        <v>124</v>
      </c>
      <c r="B12" s="54">
        <f>'3. DCF VALUATION'!F13</f>
        <v>13393.516371459842</v>
      </c>
      <c r="C12" s="54">
        <f>'3. DCF VALUATION'!F6</f>
        <v>46073.327731200006</v>
      </c>
      <c r="D12" s="139">
        <f>'3. DCF VALUATION'!F10</f>
        <v>0.34</v>
      </c>
      <c r="E12" s="139">
        <f>B12/C12</f>
        <v>0.29070000000000001</v>
      </c>
    </row>
    <row r="13" spans="1:11" ht="14.25" customHeight="1" x14ac:dyDescent="0.3">
      <c r="A13" s="87" t="s">
        <v>125</v>
      </c>
      <c r="B13" s="54">
        <f>'3. DCF VALUATION'!G13</f>
        <v>14476.815489739683</v>
      </c>
      <c r="C13" s="54">
        <f>'3. DCF VALUATION'!G6</f>
        <v>48376.994117760012</v>
      </c>
      <c r="D13" s="139">
        <f>'3. DCF VALUATION'!G10</f>
        <v>0.35</v>
      </c>
      <c r="E13" s="139">
        <f>B13/C13</f>
        <v>0.29925000000000002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INPUTS</vt:lpstr>
      <vt:lpstr>2. HISTORICAL</vt:lpstr>
      <vt:lpstr>3. DCF VALUATION</vt:lpstr>
      <vt:lpstr>4. COMP VALUATION</vt:lpstr>
      <vt:lpstr>5. CAPM</vt:lpstr>
      <vt:lpstr>6. 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Sankar Ganesh</cp:lastModifiedBy>
  <cp:revision>3</cp:revision>
  <cp:lastPrinted>2026-04-11T12:23:14Z</cp:lastPrinted>
  <dcterms:created xsi:type="dcterms:W3CDTF">2026-04-11T06:43:28Z</dcterms:created>
  <dcterms:modified xsi:type="dcterms:W3CDTF">2026-04-11T15:55:07Z</dcterms:modified>
  <dc:language>en-US</dc:language>
</cp:coreProperties>
</file>